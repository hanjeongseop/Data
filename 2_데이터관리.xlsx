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마스터테이블" sheetId="1" state="visible" r:id="rId3"/>
    <sheet name="② 생산실적_원본" sheetId="2" state="visible" r:id="rId4"/>
    <sheet name="③ 기초통계_실습" sheetId="3" state="visible" r:id="rId5"/>
    <sheet name="④ 실습가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<sst xmlns="http://schemas.openxmlformats.org/spreadsheetml/2006/main" count="933" uniqueCount="335">
  <si>
    <t xml:space="preserve">마스터 테이블 — 제품 / 설비 / 작업자  (VLOOKUP 실습용)</t>
  </si>
  <si>
    <t xml:space="preserve">■ 제품 마스터</t>
  </si>
  <si>
    <t xml:space="preserve">■ 설비 마스터</t>
  </si>
  <si>
    <t xml:space="preserve">■ 작업자 마스터</t>
  </si>
  <si>
    <t xml:space="preserve">제품ID</t>
  </si>
  <si>
    <t xml:space="preserve">제품명</t>
  </si>
  <si>
    <t xml:space="preserve">규격</t>
  </si>
  <si>
    <t xml:space="preserve">단가(원)</t>
  </si>
  <si>
    <t xml:space="preserve">담당부서</t>
  </si>
  <si>
    <t xml:space="preserve">설비ID</t>
  </si>
  <si>
    <t xml:space="preserve">설비명</t>
  </si>
  <si>
    <t xml:space="preserve">공정</t>
  </si>
  <si>
    <t xml:space="preserve">설치년도</t>
  </si>
  <si>
    <t xml:space="preserve">담당팀</t>
  </si>
  <si>
    <t xml:space="preserve">작업자ID</t>
  </si>
  <si>
    <t xml:space="preserve">이름</t>
  </si>
  <si>
    <t xml:space="preserve">교대</t>
  </si>
  <si>
    <t xml:space="preserve">경력(년)</t>
  </si>
  <si>
    <t xml:space="preserve">자격증</t>
  </si>
  <si>
    <t xml:space="preserve">소속팀</t>
  </si>
  <si>
    <t xml:space="preserve">P01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</si>
  <si>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제품</t>
    </r>
  </si>
  <si>
    <t xml:space="preserve">100×50mm</t>
  </si>
  <si>
    <t xml:space="preserve">생산1팀</t>
  </si>
  <si>
    <t xml:space="preserve">M01</t>
  </si>
  <si>
    <t xml:space="preserve">CNC-01</t>
  </si>
  <si>
    <t xml:space="preserve">가공</t>
  </si>
  <si>
    <t xml:space="preserve">설비1팀</t>
  </si>
  <si>
    <t xml:space="preserve">E001</t>
  </si>
  <si>
    <t xml:space="preserve">김민준</t>
  </si>
  <si>
    <t xml:space="preserve">주간</t>
  </si>
  <si>
    <r>
      <rPr>
        <sz val="10"/>
        <rFont val="Arial"/>
        <family val="0"/>
        <charset val="1"/>
      </rPr>
      <t xml:space="preserve">CNC</t>
    </r>
    <r>
      <rPr>
        <sz val="10"/>
        <rFont val="Noto Sans CJK SC"/>
        <family val="2"/>
      </rPr>
      <t xml:space="preserve">기능사</t>
    </r>
  </si>
  <si>
    <t xml:space="preserve">P02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</si>
  <si>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제품</t>
    </r>
  </si>
  <si>
    <t xml:space="preserve">200×80mm</t>
  </si>
  <si>
    <t xml:space="preserve">생산2팀</t>
  </si>
  <si>
    <t xml:space="preserve">M02</t>
  </si>
  <si>
    <t xml:space="preserve">CNC-02</t>
  </si>
  <si>
    <t xml:space="preserve">E002</t>
  </si>
  <si>
    <t xml:space="preserve">이수연</t>
  </si>
  <si>
    <t xml:space="preserve">품질관리사</t>
  </si>
  <si>
    <t xml:space="preserve">P03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</si>
  <si>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제품</t>
    </r>
  </si>
  <si>
    <t xml:space="preserve">150×60mm</t>
  </si>
  <si>
    <t xml:space="preserve">M03</t>
  </si>
  <si>
    <t xml:space="preserve">CNC-03</t>
  </si>
  <si>
    <t xml:space="preserve">설비2팀</t>
  </si>
  <si>
    <t xml:space="preserve">E003</t>
  </si>
  <si>
    <t xml:space="preserve">박지호</t>
  </si>
  <si>
    <t xml:space="preserve">M04</t>
  </si>
  <si>
    <t xml:space="preserve">CMM-01</t>
  </si>
  <si>
    <t xml:space="preserve">검사</t>
  </si>
  <si>
    <t xml:space="preserve">품질팀</t>
  </si>
  <si>
    <t xml:space="preserve">E004</t>
  </si>
  <si>
    <t xml:space="preserve">정하늘</t>
  </si>
  <si>
    <t xml:space="preserve">야간</t>
  </si>
  <si>
    <t xml:space="preserve">기계가공기능사</t>
  </si>
  <si>
    <t xml:space="preserve">E005</t>
  </si>
  <si>
    <t xml:space="preserve">최유진</t>
  </si>
  <si>
    <t xml:space="preserve">E006</t>
  </si>
  <si>
    <t xml:space="preserve">한도윤</t>
  </si>
  <si>
    <t xml:space="preserve">-</t>
  </si>
  <si>
    <t xml:space="preserve">생산 실적 원본 — VLOOKUP · 피벗테이블 · 조건부서식 실습용</t>
  </si>
  <si>
    <t xml:space="preserve">※ 제품명·설비명·작업자명은 비어 있음 — VLOOKUP으로 채우는 것이 실습 목표</t>
  </si>
  <si>
    <t xml:space="preserve">LOT_ID</t>
  </si>
  <si>
    <t xml:space="preserve">날짜</t>
  </si>
  <si>
    <t xml:space="preserve">제품명
(VLOOKUP)</t>
  </si>
  <si>
    <t xml:space="preserve">설비명
(VLOOKUP)</t>
  </si>
  <si>
    <t xml:space="preserve">작업자명
(VLOOKUP)</t>
  </si>
  <si>
    <t xml:space="preserve">생산수량</t>
  </si>
  <si>
    <t xml:space="preserve">불량수량</t>
  </si>
  <si>
    <t xml:space="preserve">불량률(%)</t>
  </si>
  <si>
    <t xml:space="preserve">L0001</t>
  </si>
  <si>
    <t xml:space="preserve">2026-01-01</t>
  </si>
  <si>
    <t xml:space="preserve">L0002</t>
  </si>
  <si>
    <t xml:space="preserve">L0003</t>
  </si>
  <si>
    <t xml:space="preserve">L0004</t>
  </si>
  <si>
    <t xml:space="preserve">2026-01-02</t>
  </si>
  <si>
    <t xml:space="preserve">L0005</t>
  </si>
  <si>
    <t xml:space="preserve">L0006</t>
  </si>
  <si>
    <t xml:space="preserve">2026-01-03</t>
  </si>
  <si>
    <t xml:space="preserve">L0007</t>
  </si>
  <si>
    <t xml:space="preserve">L0008</t>
  </si>
  <si>
    <t xml:space="preserve">L0009</t>
  </si>
  <si>
    <t xml:space="preserve">2026-01-04</t>
  </si>
  <si>
    <t xml:space="preserve">L0010</t>
  </si>
  <si>
    <t xml:space="preserve">L0011</t>
  </si>
  <si>
    <t xml:space="preserve">L0012</t>
  </si>
  <si>
    <t xml:space="preserve">2026-01-05</t>
  </si>
  <si>
    <t xml:space="preserve">L0013</t>
  </si>
  <si>
    <t xml:space="preserve">L0014</t>
  </si>
  <si>
    <t xml:space="preserve">L0015</t>
  </si>
  <si>
    <t xml:space="preserve">2026-01-06</t>
  </si>
  <si>
    <t xml:space="preserve">L0016</t>
  </si>
  <si>
    <t xml:space="preserve">L0017</t>
  </si>
  <si>
    <t xml:space="preserve">2026-01-07</t>
  </si>
  <si>
    <t xml:space="preserve">L0018</t>
  </si>
  <si>
    <t xml:space="preserve">L0019</t>
  </si>
  <si>
    <t xml:space="preserve">2026-01-08</t>
  </si>
  <si>
    <t xml:space="preserve">L0020</t>
  </si>
  <si>
    <t xml:space="preserve">L0021</t>
  </si>
  <si>
    <t xml:space="preserve">2026-01-09</t>
  </si>
  <si>
    <t xml:space="preserve">L0022</t>
  </si>
  <si>
    <t xml:space="preserve">L0023</t>
  </si>
  <si>
    <t xml:space="preserve">2026-01-10</t>
  </si>
  <si>
    <t xml:space="preserve">L0024</t>
  </si>
  <si>
    <t xml:space="preserve">L0025</t>
  </si>
  <si>
    <t xml:space="preserve">L0026</t>
  </si>
  <si>
    <t xml:space="preserve">2026-01-11</t>
  </si>
  <si>
    <t xml:space="preserve">L0027</t>
  </si>
  <si>
    <t xml:space="preserve">L0028</t>
  </si>
  <si>
    <t xml:space="preserve">2026-01-12</t>
  </si>
  <si>
    <t xml:space="preserve">L0029</t>
  </si>
  <si>
    <t xml:space="preserve">L0030</t>
  </si>
  <si>
    <t xml:space="preserve">2026-01-13</t>
  </si>
  <si>
    <t xml:space="preserve">L0031</t>
  </si>
  <si>
    <t xml:space="preserve">L0032</t>
  </si>
  <si>
    <t xml:space="preserve">L0033</t>
  </si>
  <si>
    <t xml:space="preserve">2026-01-14</t>
  </si>
  <si>
    <t xml:space="preserve">L0034</t>
  </si>
  <si>
    <t xml:space="preserve">L0035</t>
  </si>
  <si>
    <t xml:space="preserve">L0036</t>
  </si>
  <si>
    <t xml:space="preserve">2026-01-15</t>
  </si>
  <si>
    <t xml:space="preserve">L0037</t>
  </si>
  <si>
    <t xml:space="preserve">L0038</t>
  </si>
  <si>
    <t xml:space="preserve">2026-01-16</t>
  </si>
  <si>
    <t xml:space="preserve">L0039</t>
  </si>
  <si>
    <t xml:space="preserve">L0040</t>
  </si>
  <si>
    <t xml:space="preserve">2026-01-17</t>
  </si>
  <si>
    <t xml:space="preserve">L0041</t>
  </si>
  <si>
    <t xml:space="preserve">L0042</t>
  </si>
  <si>
    <t xml:space="preserve">2026-01-18</t>
  </si>
  <si>
    <t xml:space="preserve">L0043</t>
  </si>
  <si>
    <t xml:space="preserve">L0044</t>
  </si>
  <si>
    <t xml:space="preserve">2026-01-19</t>
  </si>
  <si>
    <t xml:space="preserve">L0045</t>
  </si>
  <si>
    <t xml:space="preserve">L0046</t>
  </si>
  <si>
    <t xml:space="preserve">L0047</t>
  </si>
  <si>
    <t xml:space="preserve">2026-01-20</t>
  </si>
  <si>
    <t xml:space="preserve">L0048</t>
  </si>
  <si>
    <t xml:space="preserve">L0049</t>
  </si>
  <si>
    <t xml:space="preserve">L0050</t>
  </si>
  <si>
    <t xml:space="preserve">2026-01-21</t>
  </si>
  <si>
    <t xml:space="preserve">L0051</t>
  </si>
  <si>
    <t xml:space="preserve">L0052</t>
  </si>
  <si>
    <t xml:space="preserve">2026-01-22</t>
  </si>
  <si>
    <t xml:space="preserve">L0053</t>
  </si>
  <si>
    <t xml:space="preserve">L0054</t>
  </si>
  <si>
    <t xml:space="preserve">2026-01-23</t>
  </si>
  <si>
    <t xml:space="preserve">L0055</t>
  </si>
  <si>
    <t xml:space="preserve">L0056</t>
  </si>
  <si>
    <t xml:space="preserve">2026-01-24</t>
  </si>
  <si>
    <t xml:space="preserve">L0057</t>
  </si>
  <si>
    <t xml:space="preserve">L0058</t>
  </si>
  <si>
    <t xml:space="preserve">L0059</t>
  </si>
  <si>
    <t xml:space="preserve">2026-01-25</t>
  </si>
  <si>
    <t xml:space="preserve">L0060</t>
  </si>
  <si>
    <t xml:space="preserve">L0061</t>
  </si>
  <si>
    <t xml:space="preserve">2026-01-26</t>
  </si>
  <si>
    <t xml:space="preserve">L0062</t>
  </si>
  <si>
    <t xml:space="preserve">L0063</t>
  </si>
  <si>
    <t xml:space="preserve">L0064</t>
  </si>
  <si>
    <t xml:space="preserve">2026-01-27</t>
  </si>
  <si>
    <t xml:space="preserve">L0065</t>
  </si>
  <si>
    <t xml:space="preserve">L0066</t>
  </si>
  <si>
    <t xml:space="preserve">2026-01-28</t>
  </si>
  <si>
    <t xml:space="preserve">L0067</t>
  </si>
  <si>
    <t xml:space="preserve">L0068</t>
  </si>
  <si>
    <t xml:space="preserve">L0069</t>
  </si>
  <si>
    <t xml:space="preserve">2026-01-29</t>
  </si>
  <si>
    <t xml:space="preserve">L0070</t>
  </si>
  <si>
    <t xml:space="preserve">L0071</t>
  </si>
  <si>
    <t xml:space="preserve">L0072</t>
  </si>
  <si>
    <t xml:space="preserve">2026-01-30</t>
  </si>
  <si>
    <t xml:space="preserve">L0073</t>
  </si>
  <si>
    <t xml:space="preserve">L0074</t>
  </si>
  <si>
    <t xml:space="preserve">2026-01-31</t>
  </si>
  <si>
    <t xml:space="preserve">L0075</t>
  </si>
  <si>
    <t xml:space="preserve">L0076</t>
  </si>
  <si>
    <t xml:space="preserve">L0077</t>
  </si>
  <si>
    <t xml:space="preserve">2026-02-01</t>
  </si>
  <si>
    <t xml:space="preserve">L0078</t>
  </si>
  <si>
    <t xml:space="preserve">L0079</t>
  </si>
  <si>
    <t xml:space="preserve">2026-02-02</t>
  </si>
  <si>
    <t xml:space="preserve">L0080</t>
  </si>
  <si>
    <t xml:space="preserve">L0081</t>
  </si>
  <si>
    <t xml:space="preserve">2026-02-03</t>
  </si>
  <si>
    <t xml:space="preserve">L0082</t>
  </si>
  <si>
    <t xml:space="preserve">L0083</t>
  </si>
  <si>
    <t xml:space="preserve">L0084</t>
  </si>
  <si>
    <t xml:space="preserve">2026-02-04</t>
  </si>
  <si>
    <t xml:space="preserve">L0085</t>
  </si>
  <si>
    <t xml:space="preserve">L0086</t>
  </si>
  <si>
    <t xml:space="preserve">2026-02-05</t>
  </si>
  <si>
    <t xml:space="preserve">L0087</t>
  </si>
  <si>
    <t xml:space="preserve">L0088</t>
  </si>
  <si>
    <t xml:space="preserve">L0089</t>
  </si>
  <si>
    <t xml:space="preserve">2026-02-06</t>
  </si>
  <si>
    <t xml:space="preserve">L0090</t>
  </si>
  <si>
    <t xml:space="preserve">L0091</t>
  </si>
  <si>
    <t xml:space="preserve">2026-02-07</t>
  </si>
  <si>
    <t xml:space="preserve">L0092</t>
  </si>
  <si>
    <t xml:space="preserve">L0093</t>
  </si>
  <si>
    <t xml:space="preserve">2026-02-08</t>
  </si>
  <si>
    <t xml:space="preserve">L0094</t>
  </si>
  <si>
    <t xml:space="preserve">L0095</t>
  </si>
  <si>
    <t xml:space="preserve">2026-02-09</t>
  </si>
  <si>
    <t xml:space="preserve">L0096</t>
  </si>
  <si>
    <t xml:space="preserve">L0097</t>
  </si>
  <si>
    <t xml:space="preserve">L0098</t>
  </si>
  <si>
    <t xml:space="preserve">2026-02-10</t>
  </si>
  <si>
    <t xml:space="preserve">L0099</t>
  </si>
  <si>
    <t xml:space="preserve">L0100</t>
  </si>
  <si>
    <t xml:space="preserve">L0101</t>
  </si>
  <si>
    <t xml:space="preserve">2026-02-11</t>
  </si>
  <si>
    <t xml:space="preserve">L0102</t>
  </si>
  <si>
    <t xml:space="preserve">L0103</t>
  </si>
  <si>
    <t xml:space="preserve">2026-02-12</t>
  </si>
  <si>
    <t xml:space="preserve">L0104</t>
  </si>
  <si>
    <t xml:space="preserve">L0105</t>
  </si>
  <si>
    <t xml:space="preserve">L0106</t>
  </si>
  <si>
    <t xml:space="preserve">2026-02-13</t>
  </si>
  <si>
    <t xml:space="preserve">L0107</t>
  </si>
  <si>
    <t xml:space="preserve">L0108</t>
  </si>
  <si>
    <t xml:space="preserve">L0109</t>
  </si>
  <si>
    <t xml:space="preserve">2026-02-14</t>
  </si>
  <si>
    <t xml:space="preserve">L0110</t>
  </si>
  <si>
    <t xml:space="preserve">L0111</t>
  </si>
  <si>
    <t xml:space="preserve">2026-02-15</t>
  </si>
  <si>
    <t xml:space="preserve">L0112</t>
  </si>
  <si>
    <t xml:space="preserve">L0113</t>
  </si>
  <si>
    <t xml:space="preserve">2026-02-16</t>
  </si>
  <si>
    <t xml:space="preserve">L0114</t>
  </si>
  <si>
    <t xml:space="preserve">L0115</t>
  </si>
  <si>
    <t xml:space="preserve">L0116</t>
  </si>
  <si>
    <t xml:space="preserve">2026-02-17</t>
  </si>
  <si>
    <t xml:space="preserve">L0117</t>
  </si>
  <si>
    <t xml:space="preserve">L0118</t>
  </si>
  <si>
    <t xml:space="preserve">2026-02-18</t>
  </si>
  <si>
    <t xml:space="preserve">L0119</t>
  </si>
  <si>
    <t xml:space="preserve">L0120</t>
  </si>
  <si>
    <t xml:space="preserve">2026-02-19</t>
  </si>
  <si>
    <t xml:space="preserve">기초 통계 실습 — 평균 · 표준편차 · 히스토그램 (공정 비교)</t>
  </si>
  <si>
    <r>
      <rPr>
        <b val="true"/>
        <sz val="11"/>
        <color rgb="FFFFFFFF"/>
        <rFont val="Arial"/>
        <family val="0"/>
        <charset val="1"/>
      </rPr>
      <t xml:space="preserve">■ [</t>
    </r>
    <r>
      <rPr>
        <b val="true"/>
        <sz val="11"/>
        <color rgb="FFFFFFFF"/>
        <rFont val="Noto Sans CJK SC"/>
        <family val="2"/>
      </rPr>
      <t xml:space="preserve">데이터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공정별 사이클타임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 — 30 LOT</t>
    </r>
  </si>
  <si>
    <r>
      <rPr>
        <b val="true"/>
        <sz val="11"/>
        <color rgb="FFFFFFFF"/>
        <rFont val="Arial"/>
        <family val="0"/>
        <charset val="1"/>
      </rPr>
      <t xml:space="preserve">■ [</t>
    </r>
    <r>
      <rPr>
        <b val="true"/>
        <sz val="11"/>
        <color rgb="FFFFFFFF"/>
        <rFont val="Noto Sans CJK SC"/>
        <family val="2"/>
      </rPr>
      <t xml:space="preserve">실습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통계 계산 — 수식을 직접 입력하세요</t>
    </r>
  </si>
  <si>
    <t xml:space="preserve">LOT</t>
  </si>
  <si>
    <t xml:space="preserve">공정A
(안정)</t>
  </si>
  <si>
    <t xml:space="preserve">공정B
(불안정)</t>
  </si>
  <si>
    <t xml:space="preserve">공정C
(편향)</t>
  </si>
  <si>
    <t xml:space="preserve">설비온도(℃)</t>
  </si>
  <si>
    <t xml:space="preserve">불량여부</t>
  </si>
  <si>
    <t xml:space="preserve">통계 항목</t>
  </si>
  <si>
    <t xml:space="preserve">공정A</t>
  </si>
  <si>
    <t xml:space="preserve">공정B</t>
  </si>
  <si>
    <t xml:space="preserve">공정C</t>
  </si>
  <si>
    <t xml:space="preserve">공정A
(답)</t>
  </si>
  <si>
    <t xml:space="preserve">공정B
(답)</t>
  </si>
  <si>
    <t xml:space="preserve">공정C
(답)</t>
  </si>
  <si>
    <t xml:space="preserve">L01</t>
  </si>
  <si>
    <t xml:space="preserve">정상</t>
  </si>
  <si>
    <t xml:space="preserve">평균(초)</t>
  </si>
  <si>
    <t xml:space="preserve">L02</t>
  </si>
  <si>
    <t xml:space="preserve">중앙값(초)</t>
  </si>
  <si>
    <t xml:space="preserve">L03</t>
  </si>
  <si>
    <t xml:space="preserve">최솟값(초)</t>
  </si>
  <si>
    <t xml:space="preserve">L04</t>
  </si>
  <si>
    <t xml:space="preserve">불량</t>
  </si>
  <si>
    <t xml:space="preserve">최댓값(초)</t>
  </si>
  <si>
    <t xml:space="preserve">L05</t>
  </si>
  <si>
    <t xml:space="preserve">표준편차(σ)</t>
  </si>
  <si>
    <t xml:space="preserve">L06</t>
  </si>
  <si>
    <t xml:space="preserve">분산</t>
  </si>
  <si>
    <t xml:space="preserve">L07</t>
  </si>
  <si>
    <t xml:space="preserve">이상치 개수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</si>
  <si>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</si>
  <si>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</si>
  <si>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</si>
  <si>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</si>
  <si>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</si>
  <si>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</si>
  <si>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</si>
  <si>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</si>
  <si>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</si>
  <si>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</si>
  <si>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</si>
  <si>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</si>
  <si>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</si>
  <si>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</si>
  <si>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</si>
  <si>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</si>
  <si>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</si>
  <si>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</si>
  <si>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</si>
  <si>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L27</t>
  </si>
  <si>
    <t xml:space="preserve">L28</t>
  </si>
  <si>
    <t xml:space="preserve">L29</t>
  </si>
  <si>
    <t xml:space="preserve">L30</t>
  </si>
  <si>
    <r>
      <rPr>
        <b val="true"/>
        <sz val="11"/>
        <color rgb="FFFFFFFF"/>
        <rFont val="Arial"/>
        <family val="0"/>
        <charset val="1"/>
      </rPr>
      <t xml:space="preserve">■ [</t>
    </r>
    <r>
      <rPr>
        <b val="true"/>
        <sz val="11"/>
        <color rgb="FFFFFFFF"/>
        <rFont val="Noto Sans CJK SC"/>
        <family val="2"/>
      </rPr>
      <t xml:space="preserve">해석 포인트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차트를 그린 뒤 스스로 답해보세요</t>
    </r>
  </si>
  <si>
    <t xml:space="preserve">① 공정A와 공정B의 평균은 비슷한가? 그렇다면 두 공정은 동일한 품질 수준인가?</t>
  </si>
  <si>
    <t xml:space="preserve">② 공정B의 표준편차는 공정A의 몇 배인가? 현장에서 이 차이는 어떤 의미인가?</t>
  </si>
  <si>
    <t xml:space="preserve">③ 공정C의 히스토그램 모양은 공정A와 어떻게 다른가? 치우침(편향)이 의미하는 것은?</t>
  </si>
  <si>
    <t xml:space="preserve">④ 이상치(빨간 값)가 생긴 LOT에서 설비온도는 어떠했는가? 상관관계가 보이는가?</t>
  </si>
  <si>
    <r>
      <rPr>
        <sz val="10"/>
        <color rgb="FF404040"/>
        <rFont val="Arial"/>
        <family val="0"/>
        <charset val="1"/>
      </rPr>
      <t xml:space="preserve">⑤ "</t>
    </r>
    <r>
      <rPr>
        <sz val="10"/>
        <color rgb="FF404040"/>
        <rFont val="Noto Sans CJK SC"/>
        <family val="2"/>
      </rPr>
      <t xml:space="preserve">평균은 수준을 말하고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표준편차는 위험을 말한다</t>
    </r>
    <r>
      <rPr>
        <sz val="10"/>
        <color rgb="FF404040"/>
        <rFont val="Arial"/>
        <family val="0"/>
        <charset val="1"/>
      </rPr>
      <t xml:space="preserve">" — </t>
    </r>
    <r>
      <rPr>
        <sz val="10"/>
        <color rgb="FF404040"/>
        <rFont val="Noto Sans CJK SC"/>
        <family val="2"/>
      </rPr>
      <t xml:space="preserve">데이터로 이 문장을 설명해보자</t>
    </r>
    <r>
      <rPr>
        <sz val="10"/>
        <color rgb="FF404040"/>
        <rFont val="Arial"/>
        <family val="0"/>
        <charset val="1"/>
      </rPr>
      <t xml:space="preserve">.</t>
    </r>
  </si>
  <si>
    <t xml:space="preserve">엑셀 기반 데이터 관리 + 기초 통계 — 실습 가이드</t>
  </si>
  <si>
    <t xml:space="preserve">순서대로 따라하며 "데이터 관리 → VLOOKUP → 피벗 → 통계 → 시각화" 흐름을 체험하세요</t>
  </si>
  <si>
    <t xml:space="preserve">실습 A · 마스터 테이블 구조 이해 (① 마스터테이블 시트)</t>
  </si>
  <si>
    <r>
      <rPr>
        <sz val="10"/>
        <color rgb="FF404040"/>
        <rFont val="Arial"/>
        <family val="0"/>
        <charset val="1"/>
      </rPr>
      <t xml:space="preserve">A-1. </t>
    </r>
    <r>
      <rPr>
        <sz val="10"/>
        <color rgb="FF404040"/>
        <rFont val="Noto Sans CJK SC"/>
        <family val="2"/>
      </rPr>
      <t xml:space="preserve">제품 마스터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설비 마스터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작업자 마스터 </t>
    </r>
    <r>
      <rPr>
        <sz val="10"/>
        <color rgb="FF404040"/>
        <rFont val="Arial"/>
        <family val="0"/>
        <charset val="1"/>
      </rPr>
      <t xml:space="preserve">3</t>
    </r>
    <r>
      <rPr>
        <sz val="10"/>
        <color rgb="FF404040"/>
        <rFont val="Noto Sans CJK SC"/>
        <family val="2"/>
      </rPr>
      <t xml:space="preserve">개 테이블을 살펴보세요</t>
    </r>
  </si>
  <si>
    <r>
      <rPr>
        <sz val="10"/>
        <color rgb="FF404040"/>
        <rFont val="Arial"/>
        <family val="0"/>
        <charset val="1"/>
      </rPr>
      <t xml:space="preserve">A-2. "</t>
    </r>
    <r>
      <rPr>
        <sz val="10"/>
        <color rgb="FF404040"/>
        <rFont val="Noto Sans CJK SC"/>
        <family val="2"/>
      </rPr>
      <t xml:space="preserve">왜 하나의 시트에 모두 합치지 않고 분리했을까</t>
    </r>
    <r>
      <rPr>
        <sz val="10"/>
        <color rgb="FF404040"/>
        <rFont val="Arial"/>
        <family val="0"/>
        <charset val="1"/>
      </rPr>
      <t xml:space="preserve">?" </t>
    </r>
    <r>
      <rPr>
        <sz val="10"/>
        <color rgb="FF404040"/>
        <rFont val="Noto Sans CJK SC"/>
        <family val="2"/>
      </rPr>
      <t xml:space="preserve">짝꿍과 토론해보세요</t>
    </r>
  </si>
  <si>
    <r>
      <rPr>
        <sz val="10"/>
        <color rgb="FF404040"/>
        <rFont val="Arial"/>
        <family val="0"/>
        <charset val="1"/>
      </rPr>
      <t xml:space="preserve">A-3. </t>
    </r>
    <r>
      <rPr>
        <sz val="10"/>
        <color rgb="FF404040"/>
        <rFont val="Noto Sans CJK SC"/>
        <family val="2"/>
      </rPr>
      <t xml:space="preserve">각 테이블의 </t>
    </r>
    <r>
      <rPr>
        <sz val="10"/>
        <color rgb="FF404040"/>
        <rFont val="Arial"/>
        <family val="0"/>
        <charset val="1"/>
      </rPr>
      <t xml:space="preserve">ID </t>
    </r>
    <r>
      <rPr>
        <sz val="10"/>
        <color rgb="FF404040"/>
        <rFont val="Noto Sans CJK SC"/>
        <family val="2"/>
      </rPr>
      <t xml:space="preserve">열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제품</t>
    </r>
    <r>
      <rPr>
        <sz val="10"/>
        <color rgb="FF404040"/>
        <rFont val="Arial"/>
        <family val="0"/>
        <charset val="1"/>
      </rPr>
      <t xml:space="preserve">ID·</t>
    </r>
    <r>
      <rPr>
        <sz val="10"/>
        <color rgb="FF404040"/>
        <rFont val="Noto Sans CJK SC"/>
        <family val="2"/>
      </rPr>
      <t xml:space="preserve">설비</t>
    </r>
    <r>
      <rPr>
        <sz val="10"/>
        <color rgb="FF404040"/>
        <rFont val="Arial"/>
        <family val="0"/>
        <charset val="1"/>
      </rPr>
      <t xml:space="preserve">ID·</t>
    </r>
    <r>
      <rPr>
        <sz val="10"/>
        <color rgb="FF404040"/>
        <rFont val="Noto Sans CJK SC"/>
        <family val="2"/>
      </rPr>
      <t xml:space="preserve">작업자</t>
    </r>
    <r>
      <rPr>
        <sz val="10"/>
        <color rgb="FF404040"/>
        <rFont val="Arial"/>
        <family val="0"/>
        <charset val="1"/>
      </rPr>
      <t xml:space="preserve">ID)</t>
    </r>
    <r>
      <rPr>
        <sz val="10"/>
        <color rgb="FF404040"/>
        <rFont val="Noto Sans CJK SC"/>
        <family val="2"/>
      </rPr>
      <t xml:space="preserve">이 어떤 역할을 하는지 확인하세요</t>
    </r>
  </si>
  <si>
    <t xml:space="preserve">❓ 설비명이 "CNC-01 → CNC-A1"으로 바뀐다면 어디를 수정해야 할까?</t>
  </si>
  <si>
    <t xml:space="preserve">실습 B · VLOOKUP으로 빈칸 채우기 (② 생산실적_원본 시트)</t>
  </si>
  <si>
    <r>
      <rPr>
        <sz val="10"/>
        <color rgb="FF404040"/>
        <rFont val="Arial"/>
        <family val="0"/>
        <charset val="1"/>
      </rPr>
      <t xml:space="preserve">B-1. D4 </t>
    </r>
    <r>
      <rPr>
        <sz val="10"/>
        <color rgb="FF404040"/>
        <rFont val="Noto Sans CJK SC"/>
        <family val="2"/>
      </rPr>
      <t xml:space="preserve">셀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제품명</t>
    </r>
    <r>
      <rPr>
        <sz val="10"/>
        <color rgb="FF404040"/>
        <rFont val="Arial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에 </t>
    </r>
    <r>
      <rPr>
        <sz val="10"/>
        <color rgb="FF404040"/>
        <rFont val="Arial"/>
        <family val="0"/>
        <charset val="1"/>
      </rPr>
      <t xml:space="preserve">VLOOKUP </t>
    </r>
    <r>
      <rPr>
        <sz val="10"/>
        <color rgb="FF404040"/>
        <rFont val="Noto Sans CJK SC"/>
        <family val="2"/>
      </rPr>
      <t xml:space="preserve">수식을 입력하세요</t>
    </r>
  </si>
  <si>
    <r>
      <rPr>
        <sz val="10"/>
        <color rgb="FF404040"/>
        <rFont val="Arial"/>
        <family val="0"/>
        <charset val="1"/>
      </rPr>
      <t xml:space="preserve">     =VLOOKUP(C4, '① </t>
    </r>
    <r>
      <rPr>
        <sz val="10"/>
        <color rgb="FF404040"/>
        <rFont val="Noto Sans CJK SC"/>
        <family val="2"/>
      </rPr>
      <t xml:space="preserve">마스터테이블</t>
    </r>
    <r>
      <rPr>
        <sz val="10"/>
        <color rgb="FF404040"/>
        <rFont val="Arial"/>
        <family val="0"/>
        <charset val="1"/>
      </rPr>
      <t xml:space="preserve">'!$A$5:$E$7, 2, 0)</t>
    </r>
  </si>
  <si>
    <r>
      <rPr>
        <sz val="10"/>
        <color rgb="FF404040"/>
        <rFont val="Arial"/>
        <family val="0"/>
        <charset val="1"/>
      </rPr>
      <t xml:space="preserve">B-2. F4 </t>
    </r>
    <r>
      <rPr>
        <sz val="10"/>
        <color rgb="FF404040"/>
        <rFont val="Noto Sans CJK SC"/>
        <family val="2"/>
      </rPr>
      <t xml:space="preserve">셀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설비명</t>
    </r>
    <r>
      <rPr>
        <sz val="10"/>
        <color rgb="FF404040"/>
        <rFont val="Arial"/>
        <family val="0"/>
        <charset val="1"/>
      </rPr>
      <t xml:space="preserve">): =VLOOKUP(E4, '① </t>
    </r>
    <r>
      <rPr>
        <sz val="10"/>
        <color rgb="FF404040"/>
        <rFont val="Noto Sans CJK SC"/>
        <family val="2"/>
      </rPr>
      <t xml:space="preserve">마스터테이블</t>
    </r>
    <r>
      <rPr>
        <sz val="10"/>
        <color rgb="FF404040"/>
        <rFont val="Arial"/>
        <family val="0"/>
        <charset val="1"/>
      </rPr>
      <t xml:space="preserve">'!$G$5:$K$8, 2, 0)</t>
    </r>
  </si>
  <si>
    <r>
      <rPr>
        <sz val="10"/>
        <color rgb="FF404040"/>
        <rFont val="Arial"/>
        <family val="0"/>
        <charset val="1"/>
      </rPr>
      <t xml:space="preserve">B-3. I4 </t>
    </r>
    <r>
      <rPr>
        <sz val="10"/>
        <color rgb="FF404040"/>
        <rFont val="Noto Sans CJK SC"/>
        <family val="2"/>
      </rPr>
      <t xml:space="preserve">셀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작업자명</t>
    </r>
    <r>
      <rPr>
        <sz val="10"/>
        <color rgb="FF404040"/>
        <rFont val="Arial"/>
        <family val="0"/>
        <charset val="1"/>
      </rPr>
      <t xml:space="preserve">): =VLOOKUP(H4, '① </t>
    </r>
    <r>
      <rPr>
        <sz val="10"/>
        <color rgb="FF404040"/>
        <rFont val="Noto Sans CJK SC"/>
        <family val="2"/>
      </rPr>
      <t xml:space="preserve">마스터테이블</t>
    </r>
    <r>
      <rPr>
        <sz val="10"/>
        <color rgb="FF404040"/>
        <rFont val="Arial"/>
        <family val="0"/>
        <charset val="1"/>
      </rPr>
      <t xml:space="preserve">'!$M$5:$R$10, 2, 0)</t>
    </r>
  </si>
  <si>
    <r>
      <rPr>
        <sz val="10"/>
        <color rgb="FF404040"/>
        <rFont val="Arial"/>
        <family val="0"/>
        <charset val="1"/>
      </rPr>
      <t xml:space="preserve">B-4. </t>
    </r>
    <r>
      <rPr>
        <sz val="10"/>
        <color rgb="FF404040"/>
        <rFont val="Noto Sans CJK SC"/>
        <family val="2"/>
      </rPr>
      <t xml:space="preserve">수식을 아래 행까지 복사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자동 채우기</t>
    </r>
    <r>
      <rPr>
        <sz val="10"/>
        <color rgb="FF404040"/>
        <rFont val="Arial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하세요</t>
    </r>
  </si>
  <si>
    <r>
      <rPr>
        <b val="true"/>
        <sz val="10"/>
        <color rgb="FF7B3F00"/>
        <rFont val="Noto Sans CJK SC"/>
        <family val="2"/>
      </rPr>
      <t xml:space="preserve">❓ 오류</t>
    </r>
    <r>
      <rPr>
        <b val="true"/>
        <sz val="10"/>
        <color rgb="FF7B3F00"/>
        <rFont val="Arial"/>
        <family val="0"/>
        <charset val="1"/>
      </rPr>
      <t xml:space="preserve">(NA)</t>
    </r>
    <r>
      <rPr>
        <b val="true"/>
        <sz val="10"/>
        <color rgb="FF7B3F00"/>
        <rFont val="Noto Sans CJK SC"/>
        <family val="2"/>
      </rPr>
      <t xml:space="preserve">가 나온 셀이 있다면 — 원인은 무엇일까</t>
    </r>
    <r>
      <rPr>
        <b val="true"/>
        <sz val="10"/>
        <color rgb="FF7B3F00"/>
        <rFont val="Arial"/>
        <family val="0"/>
        <charset val="1"/>
      </rPr>
      <t xml:space="preserve">?</t>
    </r>
  </si>
  <si>
    <t xml:space="preserve">실습 C · 피벗테이블로 요약 분석하기 (② 시트 데이터 기반)</t>
  </si>
  <si>
    <r>
      <rPr>
        <sz val="10"/>
        <color rgb="FF404040"/>
        <rFont val="Arial"/>
        <family val="0"/>
        <charset val="1"/>
      </rPr>
      <t xml:space="preserve">C-1. ② </t>
    </r>
    <r>
      <rPr>
        <sz val="10"/>
        <color rgb="FF404040"/>
        <rFont val="Noto Sans CJK SC"/>
        <family val="2"/>
      </rPr>
      <t xml:space="preserve">시트 전체 선택 → </t>
    </r>
    <r>
      <rPr>
        <sz val="10"/>
        <color rgb="FF404040"/>
        <rFont val="Arial"/>
        <family val="0"/>
        <charset val="1"/>
      </rPr>
      <t xml:space="preserve">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피벗테이블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새 워크시트</t>
    </r>
  </si>
  <si>
    <r>
      <rPr>
        <sz val="10"/>
        <color rgb="FF404040"/>
        <rFont val="Arial"/>
        <family val="0"/>
        <charset val="1"/>
      </rPr>
      <t xml:space="preserve">C-2. </t>
    </r>
    <r>
      <rPr>
        <sz val="10"/>
        <color rgb="FF404040"/>
        <rFont val="Noto Sans CJK SC"/>
        <family val="2"/>
      </rPr>
      <t xml:space="preserve">행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설비명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값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불량수량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합계</t>
    </r>
    <r>
      <rPr>
        <sz val="10"/>
        <color rgb="FF404040"/>
        <rFont val="Arial"/>
        <family val="0"/>
        <charset val="1"/>
      </rPr>
      <t xml:space="preserve">)  →  </t>
    </r>
    <r>
      <rPr>
        <sz val="10"/>
        <color rgb="FF404040"/>
        <rFont val="Noto Sans CJK SC"/>
        <family val="2"/>
      </rPr>
      <t xml:space="preserve">설비별 총 불량 확인</t>
    </r>
  </si>
  <si>
    <r>
      <rPr>
        <sz val="10"/>
        <color rgb="FF404040"/>
        <rFont val="Arial"/>
        <family val="0"/>
        <charset val="1"/>
      </rPr>
      <t xml:space="preserve">C-3. </t>
    </r>
    <r>
      <rPr>
        <sz val="10"/>
        <color rgb="FF404040"/>
        <rFont val="Noto Sans CJK SC"/>
        <family val="2"/>
      </rPr>
      <t xml:space="preserve">행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교대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열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제품명 </t>
    </r>
    <r>
      <rPr>
        <sz val="10"/>
        <color rgb="FF404040"/>
        <rFont val="Arial"/>
        <family val="0"/>
        <charset val="1"/>
      </rPr>
      <t xml:space="preserve">/ </t>
    </r>
    <r>
      <rPr>
        <sz val="10"/>
        <color rgb="FF404040"/>
        <rFont val="Noto Sans CJK SC"/>
        <family val="2"/>
      </rPr>
      <t xml:space="preserve">값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불량률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평균</t>
    </r>
    <r>
      <rPr>
        <sz val="10"/>
        <color rgb="FF404040"/>
        <rFont val="Arial"/>
        <family val="0"/>
        <charset val="1"/>
      </rPr>
      <t xml:space="preserve">)  →  </t>
    </r>
    <r>
      <rPr>
        <sz val="10"/>
        <color rgb="FF404040"/>
        <rFont val="Noto Sans CJK SC"/>
        <family val="2"/>
      </rPr>
      <t xml:space="preserve">교차 분석</t>
    </r>
  </si>
  <si>
    <r>
      <rPr>
        <sz val="10"/>
        <color rgb="FF404040"/>
        <rFont val="Arial"/>
        <family val="0"/>
        <charset val="1"/>
      </rPr>
      <t xml:space="preserve">C-4. </t>
    </r>
    <r>
      <rPr>
        <sz val="10"/>
        <color rgb="FF404040"/>
        <rFont val="Noto Sans CJK SC"/>
        <family val="2"/>
      </rPr>
      <t xml:space="preserve">행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날짜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월로 그룹화</t>
    </r>
    <r>
      <rPr>
        <sz val="10"/>
        <color rgb="FF404040"/>
        <rFont val="Arial"/>
        <family val="0"/>
        <charset val="1"/>
      </rPr>
      <t xml:space="preserve">) / </t>
    </r>
    <r>
      <rPr>
        <sz val="10"/>
        <color rgb="FF404040"/>
        <rFont val="Noto Sans CJK SC"/>
        <family val="2"/>
      </rPr>
      <t xml:space="preserve">값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생산수량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Noto Sans CJK SC"/>
        <family val="2"/>
      </rPr>
      <t xml:space="preserve">합계</t>
    </r>
    <r>
      <rPr>
        <sz val="10"/>
        <color rgb="FF404040"/>
        <rFont val="Arial"/>
        <family val="0"/>
        <charset val="1"/>
      </rPr>
      <t xml:space="preserve">)  →  </t>
    </r>
    <r>
      <rPr>
        <sz val="10"/>
        <color rgb="FF404040"/>
        <rFont val="Noto Sans CJK SC"/>
        <family val="2"/>
      </rPr>
      <t xml:space="preserve">월별 생산 추이</t>
    </r>
  </si>
  <si>
    <t xml:space="preserve">❓ 불량률이 가장 높은 설비와 교대 조합은? 이유를 추론해보세요</t>
  </si>
  <si>
    <t xml:space="preserve">실습 D · 기초 통계 계산 (③ 기초통계_실습 시트)</t>
  </si>
  <si>
    <r>
      <rPr>
        <sz val="10"/>
        <color rgb="FF404040"/>
        <rFont val="Arial"/>
        <family val="0"/>
        <charset val="1"/>
      </rPr>
      <t xml:space="preserve">D-1. </t>
    </r>
    <r>
      <rPr>
        <sz val="10"/>
        <color rgb="FF404040"/>
        <rFont val="Noto Sans CJK SC"/>
        <family val="2"/>
      </rPr>
      <t xml:space="preserve">노란색 빈칸</t>
    </r>
    <r>
      <rPr>
        <sz val="10"/>
        <color rgb="FF404040"/>
        <rFont val="Arial"/>
        <family val="0"/>
        <charset val="1"/>
      </rPr>
      <t xml:space="preserve">(I~K</t>
    </r>
    <r>
      <rPr>
        <sz val="10"/>
        <color rgb="FF404040"/>
        <rFont val="Noto Sans CJK SC"/>
        <family val="2"/>
      </rPr>
      <t xml:space="preserve">열</t>
    </r>
    <r>
      <rPr>
        <sz val="10"/>
        <color rgb="FF404040"/>
        <rFont val="Arial"/>
        <family val="0"/>
        <charset val="1"/>
      </rPr>
      <t xml:space="preserve">)</t>
    </r>
    <r>
      <rPr>
        <sz val="10"/>
        <color rgb="FF404040"/>
        <rFont val="Noto Sans CJK SC"/>
        <family val="2"/>
      </rPr>
      <t xml:space="preserve">에 아래 수식을 직접 입력하세요</t>
    </r>
  </si>
  <si>
    <t xml:space="preserve">     평균: =AVERAGE(B5:B34)   표준편차: =STDEV(B5:B34)</t>
  </si>
  <si>
    <r>
      <rPr>
        <sz val="10"/>
        <color rgb="FF404040"/>
        <rFont val="Arial"/>
        <family val="0"/>
        <charset val="1"/>
      </rPr>
      <t xml:space="preserve">D-2. </t>
    </r>
    <r>
      <rPr>
        <sz val="10"/>
        <color rgb="FF404040"/>
        <rFont val="Noto Sans CJK SC"/>
        <family val="2"/>
      </rPr>
      <t xml:space="preserve">회색 열</t>
    </r>
    <r>
      <rPr>
        <sz val="10"/>
        <color rgb="FF404040"/>
        <rFont val="Arial"/>
        <family val="0"/>
        <charset val="1"/>
      </rPr>
      <t xml:space="preserve">(L~N)</t>
    </r>
    <r>
      <rPr>
        <sz val="10"/>
        <color rgb="FF404040"/>
        <rFont val="Noto Sans CJK SC"/>
        <family val="2"/>
      </rPr>
      <t xml:space="preserve">의 정답과 내 답을 비교하세요</t>
    </r>
  </si>
  <si>
    <r>
      <rPr>
        <sz val="10"/>
        <color rgb="FF404040"/>
        <rFont val="Arial"/>
        <family val="0"/>
        <charset val="1"/>
      </rPr>
      <t xml:space="preserve">D-3. </t>
    </r>
    <r>
      <rPr>
        <sz val="10"/>
        <color rgb="FF404040"/>
        <rFont val="Noto Sans CJK SC"/>
        <family val="2"/>
      </rPr>
      <t xml:space="preserve">공정</t>
    </r>
    <r>
      <rPr>
        <sz val="10"/>
        <color rgb="FF404040"/>
        <rFont val="Arial"/>
        <family val="0"/>
        <charset val="1"/>
      </rPr>
      <t xml:space="preserve">A vs B vs C </t>
    </r>
    <r>
      <rPr>
        <sz val="10"/>
        <color rgb="FF404040"/>
        <rFont val="Noto Sans CJK SC"/>
        <family val="2"/>
      </rPr>
      <t xml:space="preserve">표준편차를 비교하고 어느 공정이 가장 위험한지 판단하세요</t>
    </r>
  </si>
  <si>
    <t xml:space="preserve">❓ 평균이 같은 공정A와 공정B — 현장에서 실제 느낌은 어떻게 다를까?</t>
  </si>
  <si>
    <t xml:space="preserve">실습 E · 히스토그램으로 분포 확인 (③ 시트 데이터)</t>
  </si>
  <si>
    <r>
      <rPr>
        <sz val="10"/>
        <color rgb="FF404040"/>
        <rFont val="Arial"/>
        <family val="0"/>
        <charset val="1"/>
      </rPr>
      <t xml:space="preserve">E-1. B5:B34 </t>
    </r>
    <r>
      <rPr>
        <sz val="10"/>
        <color rgb="FF404040"/>
        <rFont val="Noto Sans CJK SC"/>
        <family val="2"/>
      </rPr>
      <t xml:space="preserve">선택 → </t>
    </r>
    <r>
      <rPr>
        <sz val="10"/>
        <color rgb="FF404040"/>
        <rFont val="Arial"/>
        <family val="0"/>
        <charset val="1"/>
      </rPr>
      <t xml:space="preserve">[</t>
    </r>
    <r>
      <rPr>
        <sz val="10"/>
        <color rgb="FF404040"/>
        <rFont val="Noto Sans CJK SC"/>
        <family val="2"/>
      </rPr>
      <t xml:space="preserve">삽입</t>
    </r>
    <r>
      <rPr>
        <sz val="10"/>
        <color rgb="FF404040"/>
        <rFont val="Arial"/>
        <family val="0"/>
        <charset val="1"/>
      </rPr>
      <t xml:space="preserve">] → [</t>
    </r>
    <r>
      <rPr>
        <sz val="10"/>
        <color rgb="FF404040"/>
        <rFont val="Noto Sans CJK SC"/>
        <family val="2"/>
      </rPr>
      <t xml:space="preserve">차트</t>
    </r>
    <r>
      <rPr>
        <sz val="10"/>
        <color rgb="FF404040"/>
        <rFont val="Arial"/>
        <family val="0"/>
        <charset val="1"/>
      </rPr>
      <t xml:space="preserve">] → </t>
    </r>
    <r>
      <rPr>
        <sz val="10"/>
        <color rgb="FF404040"/>
        <rFont val="Noto Sans CJK SC"/>
        <family val="2"/>
      </rPr>
      <t xml:space="preserve">히스토그램 → 공정</t>
    </r>
    <r>
      <rPr>
        <sz val="10"/>
        <color rgb="FF404040"/>
        <rFont val="Arial"/>
        <family val="0"/>
        <charset val="1"/>
      </rPr>
      <t xml:space="preserve">A </t>
    </r>
    <r>
      <rPr>
        <sz val="10"/>
        <color rgb="FF404040"/>
        <rFont val="Noto Sans CJK SC"/>
        <family val="2"/>
      </rPr>
      <t xml:space="preserve">분포 확인</t>
    </r>
  </si>
  <si>
    <r>
      <rPr>
        <sz val="10"/>
        <color rgb="FF404040"/>
        <rFont val="Arial"/>
        <family val="0"/>
        <charset val="1"/>
      </rPr>
      <t xml:space="preserve">E-2. C5:C34</t>
    </r>
    <r>
      <rPr>
        <sz val="10"/>
        <color rgb="FF404040"/>
        <rFont val="Noto Sans CJK SC"/>
        <family val="2"/>
      </rPr>
      <t xml:space="preserve">로 같은 방법으로 공정</t>
    </r>
    <r>
      <rPr>
        <sz val="10"/>
        <color rgb="FF404040"/>
        <rFont val="Arial"/>
        <family val="0"/>
        <charset val="1"/>
      </rPr>
      <t xml:space="preserve">B </t>
    </r>
    <r>
      <rPr>
        <sz val="10"/>
        <color rgb="FF404040"/>
        <rFont val="Noto Sans CJK SC"/>
        <family val="2"/>
      </rPr>
      <t xml:space="preserve">히스토그램 생성</t>
    </r>
  </si>
  <si>
    <r>
      <rPr>
        <sz val="10"/>
        <color rgb="FF404040"/>
        <rFont val="Arial"/>
        <family val="0"/>
        <charset val="1"/>
      </rPr>
      <t xml:space="preserve">E-3. </t>
    </r>
    <r>
      <rPr>
        <sz val="10"/>
        <color rgb="FF404040"/>
        <rFont val="Noto Sans CJK SC"/>
        <family val="2"/>
      </rPr>
      <t xml:space="preserve">두 히스토그램을 나란히 놓고 모양 비교</t>
    </r>
  </si>
  <si>
    <r>
      <rPr>
        <sz val="10"/>
        <color rgb="FF404040"/>
        <rFont val="Arial"/>
        <family val="0"/>
        <charset val="1"/>
      </rPr>
      <t xml:space="preserve">E-4. D5:D34(</t>
    </r>
    <r>
      <rPr>
        <sz val="10"/>
        <color rgb="FF404040"/>
        <rFont val="Noto Sans CJK SC"/>
        <family val="2"/>
      </rPr>
      <t xml:space="preserve">공정</t>
    </r>
    <r>
      <rPr>
        <sz val="10"/>
        <color rgb="FF404040"/>
        <rFont val="Arial"/>
        <family val="0"/>
        <charset val="1"/>
      </rPr>
      <t xml:space="preserve">C) </t>
    </r>
    <r>
      <rPr>
        <sz val="10"/>
        <color rgb="FF404040"/>
        <rFont val="Noto Sans CJK SC"/>
        <family val="2"/>
      </rPr>
      <t xml:space="preserve">히스토그램 — 한쪽으로 치우친 분포 확인</t>
    </r>
  </si>
  <si>
    <t xml:space="preserve">❓ 히스토그램 없이 숫자만 봤다면 공정B의 위험을 눈치챌 수 있었을까?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</si>
</sst>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1F4E79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i val="true"/>
      <sz val="10"/>
      <color rgb="FF9C0006"/>
      <name val="Noto Sans CJK SC"/>
      <family val="2"/>
      <charset val="1"/>
    </font>
    <font>
      <b val="true"/>
      <sz val="10"/>
      <color rgb="FF1F4E79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375623"/>
      <name val="Arial"/>
      <family val="0"/>
      <charset val="1"/>
    </font>
    <font>
      <b val="true"/>
      <sz val="10"/>
      <color rgb="FF375623"/>
      <name val="Noto Sans CJK SC"/>
      <family val="2"/>
      <charset val="1"/>
    </font>
    <font>
      <b val="true"/>
      <sz val="10"/>
      <color rgb="FF7030A0"/>
      <name val="Noto Sans CJK SC"/>
      <family val="2"/>
      <charset val="1"/>
    </font>
    <font>
      <b val="true"/>
      <sz val="10"/>
      <name val="Noto Sans CJK SC"/>
      <family val="2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0000"/>
      <name val="Noto Sans CJK SC"/>
      <family val="2"/>
      <charset val="1"/>
    </font>
    <font>
      <sz val="10"/>
      <color rgb="FF404040"/>
      <name val="Noto Sans CJK SC"/>
      <family val="2"/>
      <charset val="1"/>
    </font>
    <font>
      <sz val="10"/>
      <color rgb="FF404040"/>
      <name val="Arial"/>
      <family val="0"/>
      <charset val="1"/>
    </font>
    <font>
      <sz val="10"/>
      <color rgb="FF404040"/>
      <name val="Noto Sans CJK SC"/>
      <family val="2"/>
    </font>
    <font>
      <b val="true"/>
      <sz val="14"/>
      <color rgb="FFFFFFFF"/>
      <name val="Noto Sans CJK SC"/>
      <family val="2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7B3F00"/>
      <name val="Noto Sans CJK SC"/>
      <family val="2"/>
      <charset val="1"/>
    </font>
    <font>
      <b val="true"/>
      <sz val="10"/>
      <color rgb="FF7B3F00"/>
      <name val="Noto Sans CJK SC"/>
      <family val="2"/>
    </font>
    <font>
      <b val="true"/>
      <sz val="10"/>
      <color rgb="FF7B3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DE7F6"/>
      </patternFill>
    </fill>
    <fill>
      <patternFill patternType="solid">
        <fgColor rgb="FFFFFFFF"/>
        <bgColor rgb="FFF2F2F2"/>
      </patternFill>
    </fill>
    <fill>
      <patternFill patternType="solid">
        <fgColor rgb="FFFFE7E7"/>
        <bgColor rgb="FFEDE7F6"/>
      </patternFill>
    </fill>
    <fill>
      <patternFill patternType="solid">
        <fgColor rgb="FFFFF2CC"/>
        <bgColor rgb="FFFFE7E7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EEAF1"/>
      </patternFill>
    </fill>
    <fill>
      <patternFill patternType="solid">
        <fgColor rgb="FFEDE7F6"/>
        <bgColor rgb="FFDEEAF1"/>
      </patternFill>
    </fill>
    <fill>
      <patternFill patternType="solid">
        <fgColor rgb="FFED7D31"/>
        <bgColor rgb="FFFF8080"/>
      </patternFill>
    </fill>
    <fill>
      <patternFill patternType="solid">
        <fgColor rgb="FFDEEAF1"/>
        <bgColor rgb="FFEDE7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medium">
        <color rgb="FF2E75B6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EDE7F6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1" min="10" style="1" width="10"/>
    <col collapsed="false" customWidth="true" hidden="false" outlineLevel="0" max="14" min="13" style="1" width="9"/>
    <col collapsed="false" customWidth="true" hidden="false" outlineLevel="0" max="15" min="15" style="1" width="7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18" min="18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G3" s="3" t="s">
        <v>2</v>
      </c>
      <c r="H3" s="3"/>
      <c r="I3" s="3"/>
      <c r="J3" s="3"/>
      <c r="K3" s="3"/>
      <c r="M3" s="3" t="s">
        <v>3</v>
      </c>
      <c r="N3" s="3"/>
      <c r="O3" s="3"/>
      <c r="P3" s="3"/>
      <c r="Q3" s="3"/>
      <c r="R3" s="3"/>
    </row>
    <row r="4" customFormat="false" ht="19.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true" outlineLevel="0" collapsed="false">
      <c r="A5" s="5" t="s">
        <v>20</v>
      </c>
      <c r="B5" s="6" t="s">
        <v>21</v>
      </c>
      <c r="C5" s="6" t="s">
        <v>22</v>
      </c>
      <c r="D5" s="7" t="n">
        <v>12000</v>
      </c>
      <c r="E5" s="8" t="s">
        <v>23</v>
      </c>
      <c r="G5" s="5" t="s">
        <v>24</v>
      </c>
      <c r="H5" s="6" t="s">
        <v>25</v>
      </c>
      <c r="I5" s="8" t="s">
        <v>26</v>
      </c>
      <c r="J5" s="9" t="n">
        <v>2019</v>
      </c>
      <c r="K5" s="8" t="s">
        <v>27</v>
      </c>
      <c r="M5" s="5" t="s">
        <v>28</v>
      </c>
      <c r="N5" s="10" t="s">
        <v>29</v>
      </c>
      <c r="O5" s="8" t="s">
        <v>30</v>
      </c>
      <c r="P5" s="9" t="n">
        <v>7</v>
      </c>
      <c r="Q5" s="5" t="s">
        <v>31</v>
      </c>
      <c r="R5" s="10" t="s">
        <v>23</v>
      </c>
    </row>
    <row r="6" customFormat="false" ht="15" hidden="false" customHeight="true" outlineLevel="0" collapsed="false">
      <c r="A6" s="11" t="s">
        <v>32</v>
      </c>
      <c r="B6" s="12" t="s">
        <v>33</v>
      </c>
      <c r="C6" s="12" t="s">
        <v>34</v>
      </c>
      <c r="D6" s="13" t="n">
        <v>18500</v>
      </c>
      <c r="E6" s="14" t="s">
        <v>35</v>
      </c>
      <c r="G6" s="11" t="s">
        <v>36</v>
      </c>
      <c r="H6" s="12" t="s">
        <v>37</v>
      </c>
      <c r="I6" s="14" t="s">
        <v>26</v>
      </c>
      <c r="J6" s="15" t="n">
        <v>2020</v>
      </c>
      <c r="K6" s="14" t="s">
        <v>27</v>
      </c>
      <c r="M6" s="11" t="s">
        <v>38</v>
      </c>
      <c r="N6" s="16" t="s">
        <v>39</v>
      </c>
      <c r="O6" s="14" t="s">
        <v>30</v>
      </c>
      <c r="P6" s="15" t="n">
        <v>5</v>
      </c>
      <c r="Q6" s="14" t="s">
        <v>40</v>
      </c>
      <c r="R6" s="16" t="s">
        <v>23</v>
      </c>
    </row>
    <row r="7" customFormat="false" ht="15" hidden="false" customHeight="true" outlineLevel="0" collapsed="false">
      <c r="A7" s="5" t="s">
        <v>41</v>
      </c>
      <c r="B7" s="6" t="s">
        <v>42</v>
      </c>
      <c r="C7" s="6" t="s">
        <v>43</v>
      </c>
      <c r="D7" s="7" t="n">
        <v>15000</v>
      </c>
      <c r="E7" s="8" t="s">
        <v>23</v>
      </c>
      <c r="G7" s="5" t="s">
        <v>44</v>
      </c>
      <c r="H7" s="6" t="s">
        <v>45</v>
      </c>
      <c r="I7" s="8" t="s">
        <v>26</v>
      </c>
      <c r="J7" s="9" t="n">
        <v>2021</v>
      </c>
      <c r="K7" s="8" t="s">
        <v>46</v>
      </c>
      <c r="M7" s="5" t="s">
        <v>47</v>
      </c>
      <c r="N7" s="10" t="s">
        <v>48</v>
      </c>
      <c r="O7" s="8" t="s">
        <v>30</v>
      </c>
      <c r="P7" s="9" t="n">
        <v>3</v>
      </c>
      <c r="Q7" s="5" t="s">
        <v>31</v>
      </c>
      <c r="R7" s="10" t="s">
        <v>35</v>
      </c>
    </row>
    <row r="8" customFormat="false" ht="15" hidden="false" customHeight="true" outlineLevel="0" collapsed="false">
      <c r="G8" s="11" t="s">
        <v>49</v>
      </c>
      <c r="H8" s="12" t="s">
        <v>50</v>
      </c>
      <c r="I8" s="14" t="s">
        <v>51</v>
      </c>
      <c r="J8" s="15" t="n">
        <v>2022</v>
      </c>
      <c r="K8" s="14" t="s">
        <v>52</v>
      </c>
      <c r="M8" s="11" t="s">
        <v>53</v>
      </c>
      <c r="N8" s="16" t="s">
        <v>54</v>
      </c>
      <c r="O8" s="14" t="s">
        <v>55</v>
      </c>
      <c r="P8" s="15" t="n">
        <v>6</v>
      </c>
      <c r="Q8" s="14" t="s">
        <v>56</v>
      </c>
      <c r="R8" s="16" t="s">
        <v>35</v>
      </c>
    </row>
    <row r="9" customFormat="false" ht="15" hidden="false" customHeight="true" outlineLevel="0" collapsed="false">
      <c r="M9" s="5" t="s">
        <v>57</v>
      </c>
      <c r="N9" s="10" t="s">
        <v>58</v>
      </c>
      <c r="O9" s="8" t="s">
        <v>55</v>
      </c>
      <c r="P9" s="9" t="n">
        <v>4</v>
      </c>
      <c r="Q9" s="5" t="s">
        <v>31</v>
      </c>
      <c r="R9" s="10" t="s">
        <v>23</v>
      </c>
    </row>
    <row r="10" customFormat="false" ht="15" hidden="false" customHeight="true" outlineLevel="0" collapsed="false">
      <c r="M10" s="11" t="s">
        <v>59</v>
      </c>
      <c r="N10" s="16" t="s">
        <v>60</v>
      </c>
      <c r="O10" s="14" t="s">
        <v>55</v>
      </c>
      <c r="P10" s="15" t="n">
        <v>2</v>
      </c>
      <c r="Q10" s="11" t="s">
        <v>61</v>
      </c>
      <c r="R10" s="16" t="s">
        <v>35</v>
      </c>
    </row>
  </sheetData>
  <mergeCells count="4">
    <mergeCell ref="A1:R1"/>
    <mergeCell ref="A3:E3"/>
    <mergeCell ref="G3:K3"/>
    <mergeCell ref="M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4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1" min="10" style="1" width="10"/>
    <col collapsed="false" customWidth="true" hidden="false" outlineLevel="0" max="12" min="12" style="1" width="11"/>
  </cols>
  <sheetData>
    <row r="1" customFormat="false" ht="27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17" t="s">
        <v>63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30" hidden="false" customHeight="true" outlineLevel="0" collapsed="false">
      <c r="A3" s="18" t="s">
        <v>64</v>
      </c>
      <c r="B3" s="4" t="s">
        <v>65</v>
      </c>
      <c r="C3" s="4" t="s">
        <v>4</v>
      </c>
      <c r="D3" s="4" t="s">
        <v>66</v>
      </c>
      <c r="E3" s="4" t="s">
        <v>9</v>
      </c>
      <c r="F3" s="4" t="s">
        <v>67</v>
      </c>
      <c r="G3" s="4" t="s">
        <v>16</v>
      </c>
      <c r="H3" s="4" t="s">
        <v>14</v>
      </c>
      <c r="I3" s="4" t="s">
        <v>68</v>
      </c>
      <c r="J3" s="4" t="s">
        <v>69</v>
      </c>
      <c r="K3" s="4" t="s">
        <v>70</v>
      </c>
      <c r="L3" s="4" t="s">
        <v>71</v>
      </c>
    </row>
    <row r="4" customFormat="false" ht="15" hidden="false" customHeight="true" outlineLevel="0" collapsed="false">
      <c r="A4" s="11" t="s">
        <v>72</v>
      </c>
      <c r="B4" s="12" t="s">
        <v>73</v>
      </c>
      <c r="C4" s="11" t="s">
        <v>20</v>
      </c>
      <c r="D4" s="19"/>
      <c r="E4" s="11" t="s">
        <v>49</v>
      </c>
      <c r="F4" s="19"/>
      <c r="G4" s="14" t="s">
        <v>55</v>
      </c>
      <c r="H4" s="11" t="s">
        <v>53</v>
      </c>
      <c r="I4" s="19"/>
      <c r="J4" s="13" t="n">
        <v>1074</v>
      </c>
      <c r="K4" s="13" t="n">
        <v>45</v>
      </c>
      <c r="L4" s="20" t="n">
        <f aca="false">IFERROR(K4/J4*100,0)</f>
        <v>4.18994413407821</v>
      </c>
    </row>
    <row r="5" customFormat="false" ht="15" hidden="false" customHeight="true" outlineLevel="0" collapsed="false">
      <c r="A5" s="5" t="s">
        <v>74</v>
      </c>
      <c r="B5" s="6" t="s">
        <v>73</v>
      </c>
      <c r="C5" s="5" t="s">
        <v>41</v>
      </c>
      <c r="D5" s="19"/>
      <c r="E5" s="5" t="s">
        <v>36</v>
      </c>
      <c r="F5" s="19"/>
      <c r="G5" s="8" t="s">
        <v>30</v>
      </c>
      <c r="H5" s="5" t="s">
        <v>38</v>
      </c>
      <c r="I5" s="19"/>
      <c r="J5" s="7" t="n">
        <v>1014</v>
      </c>
      <c r="K5" s="7" t="n">
        <v>21</v>
      </c>
      <c r="L5" s="21" t="n">
        <f aca="false">IFERROR(K5/J5*100,0)</f>
        <v>2.07100591715976</v>
      </c>
    </row>
    <row r="6" customFormat="false" ht="15" hidden="false" customHeight="true" outlineLevel="0" collapsed="false">
      <c r="A6" s="11" t="s">
        <v>75</v>
      </c>
      <c r="B6" s="12" t="s">
        <v>73</v>
      </c>
      <c r="C6" s="11" t="s">
        <v>20</v>
      </c>
      <c r="D6" s="19"/>
      <c r="E6" s="11" t="s">
        <v>36</v>
      </c>
      <c r="F6" s="19"/>
      <c r="G6" s="14" t="s">
        <v>30</v>
      </c>
      <c r="H6" s="11" t="s">
        <v>38</v>
      </c>
      <c r="I6" s="19"/>
      <c r="J6" s="13" t="n">
        <v>830</v>
      </c>
      <c r="K6" s="13" t="n">
        <v>15</v>
      </c>
      <c r="L6" s="20" t="n">
        <f aca="false">IFERROR(K6/J6*100,0)</f>
        <v>1.80722891566265</v>
      </c>
    </row>
    <row r="7" customFormat="false" ht="15" hidden="false" customHeight="true" outlineLevel="0" collapsed="false">
      <c r="A7" s="5" t="s">
        <v>76</v>
      </c>
      <c r="B7" s="6" t="s">
        <v>77</v>
      </c>
      <c r="C7" s="5" t="s">
        <v>41</v>
      </c>
      <c r="D7" s="19"/>
      <c r="E7" s="5" t="s">
        <v>24</v>
      </c>
      <c r="F7" s="19"/>
      <c r="G7" s="8" t="s">
        <v>30</v>
      </c>
      <c r="H7" s="5" t="s">
        <v>38</v>
      </c>
      <c r="I7" s="19"/>
      <c r="J7" s="7" t="n">
        <v>825</v>
      </c>
      <c r="K7" s="7" t="n">
        <v>13</v>
      </c>
      <c r="L7" s="21" t="n">
        <f aca="false">IFERROR(K7/J7*100,0)</f>
        <v>1.57575757575758</v>
      </c>
    </row>
    <row r="8" customFormat="false" ht="15" hidden="false" customHeight="true" outlineLevel="0" collapsed="false">
      <c r="A8" s="11" t="s">
        <v>78</v>
      </c>
      <c r="B8" s="12" t="s">
        <v>77</v>
      </c>
      <c r="C8" s="11" t="s">
        <v>20</v>
      </c>
      <c r="D8" s="19"/>
      <c r="E8" s="11" t="s">
        <v>24</v>
      </c>
      <c r="F8" s="19"/>
      <c r="G8" s="14" t="s">
        <v>30</v>
      </c>
      <c r="H8" s="11" t="s">
        <v>28</v>
      </c>
      <c r="I8" s="19"/>
      <c r="J8" s="13" t="n">
        <v>948</v>
      </c>
      <c r="K8" s="13" t="n">
        <v>12</v>
      </c>
      <c r="L8" s="20" t="n">
        <f aca="false">IFERROR(K8/J8*100,0)</f>
        <v>1.26582278481013</v>
      </c>
    </row>
    <row r="9" customFormat="false" ht="15" hidden="false" customHeight="true" outlineLevel="0" collapsed="false">
      <c r="A9" s="5" t="s">
        <v>79</v>
      </c>
      <c r="B9" s="6" t="s">
        <v>80</v>
      </c>
      <c r="C9" s="5" t="s">
        <v>41</v>
      </c>
      <c r="D9" s="19"/>
      <c r="E9" s="5" t="s">
        <v>36</v>
      </c>
      <c r="F9" s="19"/>
      <c r="G9" s="8" t="s">
        <v>30</v>
      </c>
      <c r="H9" s="5" t="s">
        <v>47</v>
      </c>
      <c r="I9" s="19"/>
      <c r="J9" s="7" t="n">
        <v>1127</v>
      </c>
      <c r="K9" s="7" t="n">
        <v>23</v>
      </c>
      <c r="L9" s="21" t="n">
        <f aca="false">IFERROR(K9/J9*100,0)</f>
        <v>2.04081632653061</v>
      </c>
    </row>
    <row r="10" customFormat="false" ht="15" hidden="false" customHeight="true" outlineLevel="0" collapsed="false">
      <c r="A10" s="11" t="s">
        <v>81</v>
      </c>
      <c r="B10" s="12" t="s">
        <v>80</v>
      </c>
      <c r="C10" s="11" t="s">
        <v>20</v>
      </c>
      <c r="D10" s="19"/>
      <c r="E10" s="11" t="s">
        <v>44</v>
      </c>
      <c r="F10" s="19"/>
      <c r="G10" s="14" t="s">
        <v>30</v>
      </c>
      <c r="H10" s="11" t="s">
        <v>47</v>
      </c>
      <c r="I10" s="19"/>
      <c r="J10" s="13" t="n">
        <v>832</v>
      </c>
      <c r="K10" s="13" t="n">
        <v>10</v>
      </c>
      <c r="L10" s="20" t="n">
        <f aca="false">IFERROR(K10/J10*100,0)</f>
        <v>1.20192307692308</v>
      </c>
    </row>
    <row r="11" customFormat="false" ht="15" hidden="false" customHeight="true" outlineLevel="0" collapsed="false">
      <c r="A11" s="5" t="s">
        <v>82</v>
      </c>
      <c r="B11" s="6" t="s">
        <v>80</v>
      </c>
      <c r="C11" s="5" t="s">
        <v>32</v>
      </c>
      <c r="D11" s="19"/>
      <c r="E11" s="5" t="s">
        <v>49</v>
      </c>
      <c r="F11" s="19"/>
      <c r="G11" s="8" t="s">
        <v>55</v>
      </c>
      <c r="H11" s="5" t="s">
        <v>57</v>
      </c>
      <c r="I11" s="19"/>
      <c r="J11" s="7" t="n">
        <v>1099</v>
      </c>
      <c r="K11" s="7" t="n">
        <v>45</v>
      </c>
      <c r="L11" s="21" t="n">
        <f aca="false">IFERROR(K11/J11*100,0)</f>
        <v>4.09463148316652</v>
      </c>
    </row>
    <row r="12" customFormat="false" ht="15" hidden="false" customHeight="true" outlineLevel="0" collapsed="false">
      <c r="A12" s="11" t="s">
        <v>83</v>
      </c>
      <c r="B12" s="12" t="s">
        <v>84</v>
      </c>
      <c r="C12" s="11" t="s">
        <v>32</v>
      </c>
      <c r="D12" s="19"/>
      <c r="E12" s="11" t="s">
        <v>44</v>
      </c>
      <c r="F12" s="19"/>
      <c r="G12" s="14" t="s">
        <v>30</v>
      </c>
      <c r="H12" s="11" t="s">
        <v>28</v>
      </c>
      <c r="I12" s="19"/>
      <c r="J12" s="13" t="n">
        <v>1157</v>
      </c>
      <c r="K12" s="13" t="n">
        <v>28</v>
      </c>
      <c r="L12" s="20" t="n">
        <f aca="false">IFERROR(K12/J12*100,0)</f>
        <v>2.42005185825411</v>
      </c>
    </row>
    <row r="13" customFormat="false" ht="15" hidden="false" customHeight="true" outlineLevel="0" collapsed="false">
      <c r="A13" s="5" t="s">
        <v>85</v>
      </c>
      <c r="B13" s="6" t="s">
        <v>84</v>
      </c>
      <c r="C13" s="5" t="s">
        <v>32</v>
      </c>
      <c r="D13" s="19"/>
      <c r="E13" s="5" t="s">
        <v>49</v>
      </c>
      <c r="F13" s="19"/>
      <c r="G13" s="8" t="s">
        <v>55</v>
      </c>
      <c r="H13" s="5" t="s">
        <v>59</v>
      </c>
      <c r="I13" s="19"/>
      <c r="J13" s="7" t="n">
        <v>1029</v>
      </c>
      <c r="K13" s="7" t="n">
        <v>43</v>
      </c>
      <c r="L13" s="21" t="n">
        <f aca="false">IFERROR(K13/J13*100,0)</f>
        <v>4.17881438289602</v>
      </c>
    </row>
    <row r="14" customFormat="false" ht="15" hidden="false" customHeight="true" outlineLevel="0" collapsed="false">
      <c r="A14" s="11" t="s">
        <v>86</v>
      </c>
      <c r="B14" s="12" t="s">
        <v>84</v>
      </c>
      <c r="C14" s="11" t="s">
        <v>32</v>
      </c>
      <c r="D14" s="19"/>
      <c r="E14" s="11" t="s">
        <v>24</v>
      </c>
      <c r="F14" s="19"/>
      <c r="G14" s="14" t="s">
        <v>30</v>
      </c>
      <c r="H14" s="11" t="s">
        <v>38</v>
      </c>
      <c r="I14" s="19"/>
      <c r="J14" s="13" t="n">
        <v>884</v>
      </c>
      <c r="K14" s="13" t="n">
        <v>21</v>
      </c>
      <c r="L14" s="20" t="n">
        <f aca="false">IFERROR(K14/J14*100,0)</f>
        <v>2.37556561085973</v>
      </c>
    </row>
    <row r="15" customFormat="false" ht="15" hidden="false" customHeight="true" outlineLevel="0" collapsed="false">
      <c r="A15" s="5" t="s">
        <v>87</v>
      </c>
      <c r="B15" s="6" t="s">
        <v>88</v>
      </c>
      <c r="C15" s="5" t="s">
        <v>32</v>
      </c>
      <c r="D15" s="19"/>
      <c r="E15" s="5" t="s">
        <v>24</v>
      </c>
      <c r="F15" s="19"/>
      <c r="G15" s="8" t="s">
        <v>55</v>
      </c>
      <c r="H15" s="5" t="s">
        <v>53</v>
      </c>
      <c r="I15" s="19"/>
      <c r="J15" s="7" t="n">
        <v>1191</v>
      </c>
      <c r="K15" s="7" t="n">
        <v>40</v>
      </c>
      <c r="L15" s="21" t="n">
        <f aca="false">IFERROR(K15/J15*100,0)</f>
        <v>3.35852225020991</v>
      </c>
    </row>
    <row r="16" customFormat="false" ht="15" hidden="false" customHeight="true" outlineLevel="0" collapsed="false">
      <c r="A16" s="11" t="s">
        <v>89</v>
      </c>
      <c r="B16" s="12" t="s">
        <v>88</v>
      </c>
      <c r="C16" s="11" t="s">
        <v>41</v>
      </c>
      <c r="D16" s="19"/>
      <c r="E16" s="11" t="s">
        <v>44</v>
      </c>
      <c r="F16" s="19"/>
      <c r="G16" s="14" t="s">
        <v>30</v>
      </c>
      <c r="H16" s="11" t="s">
        <v>38</v>
      </c>
      <c r="I16" s="19"/>
      <c r="J16" s="13" t="n">
        <v>1104</v>
      </c>
      <c r="K16" s="13" t="n">
        <v>11</v>
      </c>
      <c r="L16" s="20" t="n">
        <f aca="false">IFERROR(K16/J16*100,0)</f>
        <v>0.996376811594203</v>
      </c>
    </row>
    <row r="17" customFormat="false" ht="15" hidden="false" customHeight="true" outlineLevel="0" collapsed="false">
      <c r="A17" s="5" t="s">
        <v>90</v>
      </c>
      <c r="B17" s="6" t="s">
        <v>88</v>
      </c>
      <c r="C17" s="5" t="s">
        <v>20</v>
      </c>
      <c r="D17" s="19"/>
      <c r="E17" s="5" t="s">
        <v>24</v>
      </c>
      <c r="F17" s="19"/>
      <c r="G17" s="8" t="s">
        <v>55</v>
      </c>
      <c r="H17" s="5" t="s">
        <v>57</v>
      </c>
      <c r="I17" s="19"/>
      <c r="J17" s="7" t="n">
        <v>1156</v>
      </c>
      <c r="K17" s="7" t="n">
        <v>34</v>
      </c>
      <c r="L17" s="21" t="n">
        <f aca="false">IFERROR(K17/J17*100,0)</f>
        <v>2.94117647058824</v>
      </c>
    </row>
    <row r="18" customFormat="false" ht="15" hidden="false" customHeight="true" outlineLevel="0" collapsed="false">
      <c r="A18" s="11" t="s">
        <v>91</v>
      </c>
      <c r="B18" s="12" t="s">
        <v>92</v>
      </c>
      <c r="C18" s="11" t="s">
        <v>20</v>
      </c>
      <c r="D18" s="19"/>
      <c r="E18" s="11" t="s">
        <v>44</v>
      </c>
      <c r="F18" s="19"/>
      <c r="G18" s="14" t="s">
        <v>55</v>
      </c>
      <c r="H18" s="11" t="s">
        <v>59</v>
      </c>
      <c r="I18" s="19"/>
      <c r="J18" s="13" t="n">
        <v>1028</v>
      </c>
      <c r="K18" s="13" t="n">
        <v>29</v>
      </c>
      <c r="L18" s="20" t="n">
        <f aca="false">IFERROR(K18/J18*100,0)</f>
        <v>2.82101167315175</v>
      </c>
    </row>
    <row r="19" customFormat="false" ht="15" hidden="false" customHeight="true" outlineLevel="0" collapsed="false">
      <c r="A19" s="5" t="s">
        <v>93</v>
      </c>
      <c r="B19" s="6" t="s">
        <v>92</v>
      </c>
      <c r="C19" s="5" t="s">
        <v>41</v>
      </c>
      <c r="D19" s="19"/>
      <c r="E19" s="5" t="s">
        <v>44</v>
      </c>
      <c r="F19" s="19"/>
      <c r="G19" s="8" t="s">
        <v>30</v>
      </c>
      <c r="H19" s="5" t="s">
        <v>38</v>
      </c>
      <c r="I19" s="19"/>
      <c r="J19" s="7" t="n">
        <v>981</v>
      </c>
      <c r="K19" s="7" t="n">
        <v>21</v>
      </c>
      <c r="L19" s="21" t="n">
        <f aca="false">IFERROR(K19/J19*100,0)</f>
        <v>2.14067278287462</v>
      </c>
    </row>
    <row r="20" customFormat="false" ht="15" hidden="false" customHeight="true" outlineLevel="0" collapsed="false">
      <c r="A20" s="11" t="s">
        <v>94</v>
      </c>
      <c r="B20" s="12" t="s">
        <v>95</v>
      </c>
      <c r="C20" s="11" t="s">
        <v>41</v>
      </c>
      <c r="D20" s="19"/>
      <c r="E20" s="11" t="s">
        <v>24</v>
      </c>
      <c r="F20" s="19"/>
      <c r="G20" s="14" t="s">
        <v>30</v>
      </c>
      <c r="H20" s="11" t="s">
        <v>28</v>
      </c>
      <c r="I20" s="19"/>
      <c r="J20" s="13" t="n">
        <v>1193</v>
      </c>
      <c r="K20" s="13" t="n">
        <v>19</v>
      </c>
      <c r="L20" s="20" t="n">
        <f aca="false">IFERROR(K20/J20*100,0)</f>
        <v>1.59262363788768</v>
      </c>
    </row>
    <row r="21" customFormat="false" ht="15" hidden="false" customHeight="true" outlineLevel="0" collapsed="false">
      <c r="A21" s="5" t="s">
        <v>96</v>
      </c>
      <c r="B21" s="6" t="s">
        <v>95</v>
      </c>
      <c r="C21" s="5" t="s">
        <v>32</v>
      </c>
      <c r="D21" s="19"/>
      <c r="E21" s="5" t="s">
        <v>49</v>
      </c>
      <c r="F21" s="19"/>
      <c r="G21" s="8" t="s">
        <v>55</v>
      </c>
      <c r="H21" s="5" t="s">
        <v>57</v>
      </c>
      <c r="I21" s="19"/>
      <c r="J21" s="7" t="n">
        <v>841</v>
      </c>
      <c r="K21" s="7" t="n">
        <v>42</v>
      </c>
      <c r="L21" s="21" t="n">
        <f aca="false">IFERROR(K21/J21*100,0)</f>
        <v>4.99405469678954</v>
      </c>
    </row>
    <row r="22" customFormat="false" ht="15" hidden="false" customHeight="true" outlineLevel="0" collapsed="false">
      <c r="A22" s="11" t="s">
        <v>97</v>
      </c>
      <c r="B22" s="12" t="s">
        <v>98</v>
      </c>
      <c r="C22" s="11" t="s">
        <v>32</v>
      </c>
      <c r="D22" s="19"/>
      <c r="E22" s="11" t="s">
        <v>49</v>
      </c>
      <c r="F22" s="19"/>
      <c r="G22" s="14" t="s">
        <v>30</v>
      </c>
      <c r="H22" s="11" t="s">
        <v>28</v>
      </c>
      <c r="I22" s="19"/>
      <c r="J22" s="13" t="n">
        <v>1020</v>
      </c>
      <c r="K22" s="13" t="n">
        <v>34</v>
      </c>
      <c r="L22" s="20" t="n">
        <f aca="false">IFERROR(K22/J22*100,0)</f>
        <v>3.33333333333333</v>
      </c>
    </row>
    <row r="23" customFormat="false" ht="15" hidden="false" customHeight="true" outlineLevel="0" collapsed="false">
      <c r="A23" s="5" t="s">
        <v>99</v>
      </c>
      <c r="B23" s="6" t="s">
        <v>98</v>
      </c>
      <c r="C23" s="5" t="s">
        <v>32</v>
      </c>
      <c r="D23" s="19"/>
      <c r="E23" s="5" t="s">
        <v>44</v>
      </c>
      <c r="F23" s="19"/>
      <c r="G23" s="8" t="s">
        <v>55</v>
      </c>
      <c r="H23" s="5" t="s">
        <v>57</v>
      </c>
      <c r="I23" s="19"/>
      <c r="J23" s="7" t="n">
        <v>918</v>
      </c>
      <c r="K23" s="7" t="n">
        <v>30</v>
      </c>
      <c r="L23" s="21" t="n">
        <f aca="false">IFERROR(K23/J23*100,0)</f>
        <v>3.26797385620915</v>
      </c>
    </row>
    <row r="24" customFormat="false" ht="15" hidden="false" customHeight="true" outlineLevel="0" collapsed="false">
      <c r="A24" s="11" t="s">
        <v>100</v>
      </c>
      <c r="B24" s="12" t="s">
        <v>101</v>
      </c>
      <c r="C24" s="11" t="s">
        <v>20</v>
      </c>
      <c r="D24" s="19"/>
      <c r="E24" s="11" t="s">
        <v>36</v>
      </c>
      <c r="F24" s="19"/>
      <c r="G24" s="14" t="s">
        <v>30</v>
      </c>
      <c r="H24" s="11" t="s">
        <v>47</v>
      </c>
      <c r="I24" s="19"/>
      <c r="J24" s="13" t="n">
        <v>919</v>
      </c>
      <c r="K24" s="13" t="n">
        <v>23</v>
      </c>
      <c r="L24" s="20" t="n">
        <f aca="false">IFERROR(K24/J24*100,0)</f>
        <v>2.50272034820457</v>
      </c>
    </row>
    <row r="25" customFormat="false" ht="15" hidden="false" customHeight="true" outlineLevel="0" collapsed="false">
      <c r="A25" s="5" t="s">
        <v>102</v>
      </c>
      <c r="B25" s="6" t="s">
        <v>101</v>
      </c>
      <c r="C25" s="5" t="s">
        <v>20</v>
      </c>
      <c r="D25" s="19"/>
      <c r="E25" s="5" t="s">
        <v>44</v>
      </c>
      <c r="F25" s="19"/>
      <c r="G25" s="8" t="s">
        <v>30</v>
      </c>
      <c r="H25" s="5" t="s">
        <v>28</v>
      </c>
      <c r="I25" s="19"/>
      <c r="J25" s="7" t="n">
        <v>1014</v>
      </c>
      <c r="K25" s="7" t="n">
        <v>18</v>
      </c>
      <c r="L25" s="21" t="n">
        <f aca="false">IFERROR(K25/J25*100,0)</f>
        <v>1.77514792899408</v>
      </c>
    </row>
    <row r="26" customFormat="false" ht="15" hidden="false" customHeight="true" outlineLevel="0" collapsed="false">
      <c r="A26" s="11" t="s">
        <v>103</v>
      </c>
      <c r="B26" s="12" t="s">
        <v>104</v>
      </c>
      <c r="C26" s="11" t="s">
        <v>41</v>
      </c>
      <c r="D26" s="19"/>
      <c r="E26" s="11" t="s">
        <v>44</v>
      </c>
      <c r="F26" s="19"/>
      <c r="G26" s="14" t="s">
        <v>55</v>
      </c>
      <c r="H26" s="11" t="s">
        <v>59</v>
      </c>
      <c r="I26" s="19"/>
      <c r="J26" s="13" t="n">
        <v>1063</v>
      </c>
      <c r="K26" s="13" t="n">
        <v>37</v>
      </c>
      <c r="L26" s="20" t="n">
        <f aca="false">IFERROR(K26/J26*100,0)</f>
        <v>3.48071495766698</v>
      </c>
    </row>
    <row r="27" customFormat="false" ht="15" hidden="false" customHeight="true" outlineLevel="0" collapsed="false">
      <c r="A27" s="5" t="s">
        <v>105</v>
      </c>
      <c r="B27" s="6" t="s">
        <v>104</v>
      </c>
      <c r="C27" s="5" t="s">
        <v>41</v>
      </c>
      <c r="D27" s="19"/>
      <c r="E27" s="5" t="s">
        <v>24</v>
      </c>
      <c r="F27" s="19"/>
      <c r="G27" s="8" t="s">
        <v>30</v>
      </c>
      <c r="H27" s="5" t="s">
        <v>47</v>
      </c>
      <c r="I27" s="19"/>
      <c r="J27" s="7" t="n">
        <v>1086</v>
      </c>
      <c r="K27" s="7" t="n">
        <v>17</v>
      </c>
      <c r="L27" s="21" t="n">
        <f aca="false">IFERROR(K27/J27*100,0)</f>
        <v>1.56537753222836</v>
      </c>
    </row>
    <row r="28" customFormat="false" ht="15" hidden="false" customHeight="true" outlineLevel="0" collapsed="false">
      <c r="A28" s="11" t="s">
        <v>106</v>
      </c>
      <c r="B28" s="12" t="s">
        <v>104</v>
      </c>
      <c r="C28" s="11" t="s">
        <v>32</v>
      </c>
      <c r="D28" s="19"/>
      <c r="E28" s="11" t="s">
        <v>49</v>
      </c>
      <c r="F28" s="19"/>
      <c r="G28" s="14" t="s">
        <v>30</v>
      </c>
      <c r="H28" s="11" t="s">
        <v>28</v>
      </c>
      <c r="I28" s="19"/>
      <c r="J28" s="13" t="n">
        <v>1046</v>
      </c>
      <c r="K28" s="13" t="n">
        <v>32</v>
      </c>
      <c r="L28" s="20" t="n">
        <f aca="false">IFERROR(K28/J28*100,0)</f>
        <v>3.05927342256214</v>
      </c>
    </row>
    <row r="29" customFormat="false" ht="15" hidden="false" customHeight="true" outlineLevel="0" collapsed="false">
      <c r="A29" s="5" t="s">
        <v>107</v>
      </c>
      <c r="B29" s="6" t="s">
        <v>108</v>
      </c>
      <c r="C29" s="5" t="s">
        <v>20</v>
      </c>
      <c r="D29" s="19"/>
      <c r="E29" s="5" t="s">
        <v>49</v>
      </c>
      <c r="F29" s="19"/>
      <c r="G29" s="8" t="s">
        <v>30</v>
      </c>
      <c r="H29" s="5" t="s">
        <v>38</v>
      </c>
      <c r="I29" s="19"/>
      <c r="J29" s="7" t="n">
        <v>1107</v>
      </c>
      <c r="K29" s="7" t="n">
        <v>27</v>
      </c>
      <c r="L29" s="21" t="n">
        <f aca="false">IFERROR(K29/J29*100,0)</f>
        <v>2.4390243902439</v>
      </c>
    </row>
    <row r="30" customFormat="false" ht="15" hidden="false" customHeight="true" outlineLevel="0" collapsed="false">
      <c r="A30" s="11" t="s">
        <v>109</v>
      </c>
      <c r="B30" s="12" t="s">
        <v>108</v>
      </c>
      <c r="C30" s="11" t="s">
        <v>20</v>
      </c>
      <c r="D30" s="19"/>
      <c r="E30" s="11" t="s">
        <v>24</v>
      </c>
      <c r="F30" s="19"/>
      <c r="G30" s="14" t="s">
        <v>30</v>
      </c>
      <c r="H30" s="11" t="s">
        <v>28</v>
      </c>
      <c r="I30" s="19"/>
      <c r="J30" s="13" t="n">
        <v>1074</v>
      </c>
      <c r="K30" s="13" t="n">
        <v>22</v>
      </c>
      <c r="L30" s="20" t="n">
        <f aca="false">IFERROR(K30/J30*100,0)</f>
        <v>2.04841713221601</v>
      </c>
    </row>
    <row r="31" customFormat="false" ht="15" hidden="false" customHeight="true" outlineLevel="0" collapsed="false">
      <c r="A31" s="5" t="s">
        <v>110</v>
      </c>
      <c r="B31" s="6" t="s">
        <v>111</v>
      </c>
      <c r="C31" s="5" t="s">
        <v>20</v>
      </c>
      <c r="D31" s="19"/>
      <c r="E31" s="5" t="s">
        <v>36</v>
      </c>
      <c r="F31" s="19"/>
      <c r="G31" s="8" t="s">
        <v>55</v>
      </c>
      <c r="H31" s="5" t="s">
        <v>53</v>
      </c>
      <c r="I31" s="19"/>
      <c r="J31" s="7" t="n">
        <v>1124</v>
      </c>
      <c r="K31" s="7" t="n">
        <v>36</v>
      </c>
      <c r="L31" s="21" t="n">
        <f aca="false">IFERROR(K31/J31*100,0)</f>
        <v>3.20284697508897</v>
      </c>
    </row>
    <row r="32" customFormat="false" ht="15" hidden="false" customHeight="true" outlineLevel="0" collapsed="false">
      <c r="A32" s="11" t="s">
        <v>112</v>
      </c>
      <c r="B32" s="12" t="s">
        <v>111</v>
      </c>
      <c r="C32" s="11" t="s">
        <v>32</v>
      </c>
      <c r="D32" s="19"/>
      <c r="E32" s="11" t="s">
        <v>44</v>
      </c>
      <c r="F32" s="19"/>
      <c r="G32" s="14" t="s">
        <v>55</v>
      </c>
      <c r="H32" s="11" t="s">
        <v>57</v>
      </c>
      <c r="I32" s="19"/>
      <c r="J32" s="13" t="n">
        <v>862</v>
      </c>
      <c r="K32" s="13" t="n">
        <v>34</v>
      </c>
      <c r="L32" s="20" t="n">
        <f aca="false">IFERROR(K32/J32*100,0)</f>
        <v>3.94431554524362</v>
      </c>
    </row>
    <row r="33" customFormat="false" ht="15" hidden="false" customHeight="true" outlineLevel="0" collapsed="false">
      <c r="A33" s="5" t="s">
        <v>113</v>
      </c>
      <c r="B33" s="6" t="s">
        <v>114</v>
      </c>
      <c r="C33" s="5" t="s">
        <v>32</v>
      </c>
      <c r="D33" s="19"/>
      <c r="E33" s="5" t="s">
        <v>49</v>
      </c>
      <c r="F33" s="19"/>
      <c r="G33" s="8" t="s">
        <v>30</v>
      </c>
      <c r="H33" s="5" t="s">
        <v>28</v>
      </c>
      <c r="I33" s="19"/>
      <c r="J33" s="7" t="n">
        <v>852</v>
      </c>
      <c r="K33" s="7" t="n">
        <v>29</v>
      </c>
      <c r="L33" s="21" t="n">
        <f aca="false">IFERROR(K33/J33*100,0)</f>
        <v>3.4037558685446</v>
      </c>
    </row>
    <row r="34" customFormat="false" ht="15" hidden="false" customHeight="true" outlineLevel="0" collapsed="false">
      <c r="A34" s="11" t="s">
        <v>115</v>
      </c>
      <c r="B34" s="12" t="s">
        <v>114</v>
      </c>
      <c r="C34" s="11" t="s">
        <v>41</v>
      </c>
      <c r="D34" s="19"/>
      <c r="E34" s="11" t="s">
        <v>44</v>
      </c>
      <c r="F34" s="19"/>
      <c r="G34" s="14" t="s">
        <v>55</v>
      </c>
      <c r="H34" s="11" t="s">
        <v>57</v>
      </c>
      <c r="I34" s="19"/>
      <c r="J34" s="13" t="n">
        <v>1154</v>
      </c>
      <c r="K34" s="13" t="n">
        <v>35</v>
      </c>
      <c r="L34" s="20" t="n">
        <f aca="false">IFERROR(K34/J34*100,0)</f>
        <v>3.03292894280763</v>
      </c>
    </row>
    <row r="35" customFormat="false" ht="15" hidden="false" customHeight="true" outlineLevel="0" collapsed="false">
      <c r="A35" s="5" t="s">
        <v>116</v>
      </c>
      <c r="B35" s="6" t="s">
        <v>114</v>
      </c>
      <c r="C35" s="5" t="s">
        <v>41</v>
      </c>
      <c r="D35" s="19"/>
      <c r="E35" s="5" t="s">
        <v>44</v>
      </c>
      <c r="F35" s="19"/>
      <c r="G35" s="8" t="s">
        <v>30</v>
      </c>
      <c r="H35" s="5" t="s">
        <v>47</v>
      </c>
      <c r="I35" s="19"/>
      <c r="J35" s="7" t="n">
        <v>813</v>
      </c>
      <c r="K35" s="7" t="n">
        <v>15</v>
      </c>
      <c r="L35" s="21" t="n">
        <f aca="false">IFERROR(K35/J35*100,0)</f>
        <v>1.8450184501845</v>
      </c>
    </row>
    <row r="36" customFormat="false" ht="15" hidden="false" customHeight="true" outlineLevel="0" collapsed="false">
      <c r="A36" s="11" t="s">
        <v>117</v>
      </c>
      <c r="B36" s="12" t="s">
        <v>118</v>
      </c>
      <c r="C36" s="11" t="s">
        <v>41</v>
      </c>
      <c r="D36" s="19"/>
      <c r="E36" s="11" t="s">
        <v>24</v>
      </c>
      <c r="F36" s="19"/>
      <c r="G36" s="14" t="s">
        <v>55</v>
      </c>
      <c r="H36" s="11" t="s">
        <v>57</v>
      </c>
      <c r="I36" s="19"/>
      <c r="J36" s="13" t="n">
        <v>1065</v>
      </c>
      <c r="K36" s="13" t="n">
        <v>30</v>
      </c>
      <c r="L36" s="20" t="n">
        <f aca="false">IFERROR(K36/J36*100,0)</f>
        <v>2.8169014084507</v>
      </c>
    </row>
    <row r="37" customFormat="false" ht="15" hidden="false" customHeight="true" outlineLevel="0" collapsed="false">
      <c r="A37" s="5" t="s">
        <v>119</v>
      </c>
      <c r="B37" s="6" t="s">
        <v>118</v>
      </c>
      <c r="C37" s="5" t="s">
        <v>20</v>
      </c>
      <c r="D37" s="19"/>
      <c r="E37" s="5" t="s">
        <v>44</v>
      </c>
      <c r="F37" s="19"/>
      <c r="G37" s="8" t="s">
        <v>55</v>
      </c>
      <c r="H37" s="5" t="s">
        <v>59</v>
      </c>
      <c r="I37" s="19"/>
      <c r="J37" s="7" t="n">
        <v>1188</v>
      </c>
      <c r="K37" s="7" t="n">
        <v>37</v>
      </c>
      <c r="L37" s="21" t="n">
        <f aca="false">IFERROR(K37/J37*100,0)</f>
        <v>3.11447811447811</v>
      </c>
    </row>
    <row r="38" customFormat="false" ht="15" hidden="false" customHeight="true" outlineLevel="0" collapsed="false">
      <c r="A38" s="11" t="s">
        <v>120</v>
      </c>
      <c r="B38" s="12" t="s">
        <v>118</v>
      </c>
      <c r="C38" s="11" t="s">
        <v>20</v>
      </c>
      <c r="D38" s="19"/>
      <c r="E38" s="11" t="s">
        <v>36</v>
      </c>
      <c r="F38" s="19"/>
      <c r="G38" s="14" t="s">
        <v>55</v>
      </c>
      <c r="H38" s="11" t="s">
        <v>59</v>
      </c>
      <c r="I38" s="19"/>
      <c r="J38" s="13" t="n">
        <v>916</v>
      </c>
      <c r="K38" s="13" t="n">
        <v>28</v>
      </c>
      <c r="L38" s="20" t="n">
        <f aca="false">IFERROR(K38/J38*100,0)</f>
        <v>3.05676855895197</v>
      </c>
    </row>
    <row r="39" customFormat="false" ht="15" hidden="false" customHeight="true" outlineLevel="0" collapsed="false">
      <c r="A39" s="5" t="s">
        <v>121</v>
      </c>
      <c r="B39" s="6" t="s">
        <v>122</v>
      </c>
      <c r="C39" s="5" t="s">
        <v>20</v>
      </c>
      <c r="D39" s="19"/>
      <c r="E39" s="5" t="s">
        <v>44</v>
      </c>
      <c r="F39" s="19"/>
      <c r="G39" s="8" t="s">
        <v>30</v>
      </c>
      <c r="H39" s="5" t="s">
        <v>28</v>
      </c>
      <c r="I39" s="19"/>
      <c r="J39" s="7" t="n">
        <v>1154</v>
      </c>
      <c r="K39" s="7" t="n">
        <v>25</v>
      </c>
      <c r="L39" s="21" t="n">
        <f aca="false">IFERROR(K39/J39*100,0)</f>
        <v>2.16637781629116</v>
      </c>
    </row>
    <row r="40" customFormat="false" ht="15" hidden="false" customHeight="true" outlineLevel="0" collapsed="false">
      <c r="A40" s="11" t="s">
        <v>123</v>
      </c>
      <c r="B40" s="12" t="s">
        <v>122</v>
      </c>
      <c r="C40" s="11" t="s">
        <v>41</v>
      </c>
      <c r="D40" s="19"/>
      <c r="E40" s="11" t="s">
        <v>44</v>
      </c>
      <c r="F40" s="19"/>
      <c r="G40" s="14" t="s">
        <v>30</v>
      </c>
      <c r="H40" s="11" t="s">
        <v>47</v>
      </c>
      <c r="I40" s="19"/>
      <c r="J40" s="13" t="n">
        <v>978</v>
      </c>
      <c r="K40" s="13" t="n">
        <v>21</v>
      </c>
      <c r="L40" s="20" t="n">
        <f aca="false">IFERROR(K40/J40*100,0)</f>
        <v>2.14723926380368</v>
      </c>
    </row>
    <row r="41" customFormat="false" ht="15" hidden="false" customHeight="true" outlineLevel="0" collapsed="false">
      <c r="A41" s="5" t="s">
        <v>124</v>
      </c>
      <c r="B41" s="6" t="s">
        <v>125</v>
      </c>
      <c r="C41" s="5" t="s">
        <v>20</v>
      </c>
      <c r="D41" s="19"/>
      <c r="E41" s="5" t="s">
        <v>36</v>
      </c>
      <c r="F41" s="19"/>
      <c r="G41" s="8" t="s">
        <v>30</v>
      </c>
      <c r="H41" s="5" t="s">
        <v>38</v>
      </c>
      <c r="I41" s="19"/>
      <c r="J41" s="7" t="n">
        <v>904</v>
      </c>
      <c r="K41" s="7" t="n">
        <v>15</v>
      </c>
      <c r="L41" s="21" t="n">
        <f aca="false">IFERROR(K41/J41*100,0)</f>
        <v>1.65929203539823</v>
      </c>
    </row>
    <row r="42" customFormat="false" ht="15" hidden="false" customHeight="true" outlineLevel="0" collapsed="false">
      <c r="A42" s="11" t="s">
        <v>126</v>
      </c>
      <c r="B42" s="12" t="s">
        <v>125</v>
      </c>
      <c r="C42" s="11" t="s">
        <v>32</v>
      </c>
      <c r="D42" s="19"/>
      <c r="E42" s="11" t="s">
        <v>24</v>
      </c>
      <c r="F42" s="19"/>
      <c r="G42" s="14" t="s">
        <v>30</v>
      </c>
      <c r="H42" s="11" t="s">
        <v>47</v>
      </c>
      <c r="I42" s="19"/>
      <c r="J42" s="13" t="n">
        <v>976</v>
      </c>
      <c r="K42" s="13" t="n">
        <v>23</v>
      </c>
      <c r="L42" s="20" t="n">
        <f aca="false">IFERROR(K42/J42*100,0)</f>
        <v>2.35655737704918</v>
      </c>
    </row>
    <row r="43" customFormat="false" ht="15" hidden="false" customHeight="true" outlineLevel="0" collapsed="false">
      <c r="A43" s="5" t="s">
        <v>127</v>
      </c>
      <c r="B43" s="6" t="s">
        <v>128</v>
      </c>
      <c r="C43" s="5" t="s">
        <v>32</v>
      </c>
      <c r="D43" s="19"/>
      <c r="E43" s="5" t="s">
        <v>36</v>
      </c>
      <c r="F43" s="19"/>
      <c r="G43" s="8" t="s">
        <v>30</v>
      </c>
      <c r="H43" s="5" t="s">
        <v>28</v>
      </c>
      <c r="I43" s="19"/>
      <c r="J43" s="7" t="n">
        <v>1022</v>
      </c>
      <c r="K43" s="7" t="n">
        <v>22</v>
      </c>
      <c r="L43" s="21" t="n">
        <f aca="false">IFERROR(K43/J43*100,0)</f>
        <v>2.15264187866928</v>
      </c>
    </row>
    <row r="44" customFormat="false" ht="15" hidden="false" customHeight="true" outlineLevel="0" collapsed="false">
      <c r="A44" s="11" t="s">
        <v>129</v>
      </c>
      <c r="B44" s="12" t="s">
        <v>128</v>
      </c>
      <c r="C44" s="11" t="s">
        <v>41</v>
      </c>
      <c r="D44" s="19"/>
      <c r="E44" s="11" t="s">
        <v>44</v>
      </c>
      <c r="F44" s="19"/>
      <c r="G44" s="14" t="s">
        <v>30</v>
      </c>
      <c r="H44" s="11" t="s">
        <v>47</v>
      </c>
      <c r="I44" s="19"/>
      <c r="J44" s="13" t="n">
        <v>1002</v>
      </c>
      <c r="K44" s="13" t="n">
        <v>11</v>
      </c>
      <c r="L44" s="20" t="n">
        <f aca="false">IFERROR(K44/J44*100,0)</f>
        <v>1.09780439121757</v>
      </c>
    </row>
    <row r="45" customFormat="false" ht="15" hidden="false" customHeight="true" outlineLevel="0" collapsed="false">
      <c r="A45" s="5" t="s">
        <v>130</v>
      </c>
      <c r="B45" s="6" t="s">
        <v>131</v>
      </c>
      <c r="C45" s="5" t="s">
        <v>41</v>
      </c>
      <c r="D45" s="19"/>
      <c r="E45" s="5" t="s">
        <v>36</v>
      </c>
      <c r="F45" s="19"/>
      <c r="G45" s="8" t="s">
        <v>30</v>
      </c>
      <c r="H45" s="5" t="s">
        <v>28</v>
      </c>
      <c r="I45" s="19"/>
      <c r="J45" s="7" t="n">
        <v>814</v>
      </c>
      <c r="K45" s="7" t="n">
        <v>15</v>
      </c>
      <c r="L45" s="21" t="n">
        <f aca="false">IFERROR(K45/J45*100,0)</f>
        <v>1.84275184275184</v>
      </c>
    </row>
    <row r="46" customFormat="false" ht="15" hidden="false" customHeight="true" outlineLevel="0" collapsed="false">
      <c r="A46" s="11" t="s">
        <v>132</v>
      </c>
      <c r="B46" s="12" t="s">
        <v>131</v>
      </c>
      <c r="C46" s="11" t="s">
        <v>20</v>
      </c>
      <c r="D46" s="19"/>
      <c r="E46" s="11" t="s">
        <v>49</v>
      </c>
      <c r="F46" s="19"/>
      <c r="G46" s="14" t="s">
        <v>55</v>
      </c>
      <c r="H46" s="11" t="s">
        <v>53</v>
      </c>
      <c r="I46" s="19"/>
      <c r="J46" s="13" t="n">
        <v>1113</v>
      </c>
      <c r="K46" s="13" t="n">
        <v>48</v>
      </c>
      <c r="L46" s="20" t="n">
        <f aca="false">IFERROR(K46/J46*100,0)</f>
        <v>4.31266846361186</v>
      </c>
    </row>
    <row r="47" customFormat="false" ht="15" hidden="false" customHeight="true" outlineLevel="0" collapsed="false">
      <c r="A47" s="5" t="s">
        <v>133</v>
      </c>
      <c r="B47" s="6" t="s">
        <v>134</v>
      </c>
      <c r="C47" s="5" t="s">
        <v>20</v>
      </c>
      <c r="D47" s="19"/>
      <c r="E47" s="5" t="s">
        <v>36</v>
      </c>
      <c r="F47" s="19"/>
      <c r="G47" s="8" t="s">
        <v>30</v>
      </c>
      <c r="H47" s="5" t="s">
        <v>47</v>
      </c>
      <c r="I47" s="19"/>
      <c r="J47" s="7" t="n">
        <v>1132</v>
      </c>
      <c r="K47" s="7" t="n">
        <v>9</v>
      </c>
      <c r="L47" s="21" t="n">
        <f aca="false">IFERROR(K47/J47*100,0)</f>
        <v>0.795053003533569</v>
      </c>
    </row>
    <row r="48" customFormat="false" ht="15" hidden="false" customHeight="true" outlineLevel="0" collapsed="false">
      <c r="A48" s="11" t="s">
        <v>135</v>
      </c>
      <c r="B48" s="12" t="s">
        <v>134</v>
      </c>
      <c r="C48" s="11" t="s">
        <v>20</v>
      </c>
      <c r="D48" s="19"/>
      <c r="E48" s="11" t="s">
        <v>36</v>
      </c>
      <c r="F48" s="19"/>
      <c r="G48" s="14" t="s">
        <v>30</v>
      </c>
      <c r="H48" s="11" t="s">
        <v>28</v>
      </c>
      <c r="I48" s="19"/>
      <c r="J48" s="13" t="n">
        <v>908</v>
      </c>
      <c r="K48" s="13" t="n">
        <v>18</v>
      </c>
      <c r="L48" s="20" t="n">
        <f aca="false">IFERROR(K48/J48*100,0)</f>
        <v>1.98237885462555</v>
      </c>
    </row>
    <row r="49" customFormat="false" ht="15" hidden="false" customHeight="true" outlineLevel="0" collapsed="false">
      <c r="A49" s="5" t="s">
        <v>136</v>
      </c>
      <c r="B49" s="6" t="s">
        <v>134</v>
      </c>
      <c r="C49" s="5" t="s">
        <v>41</v>
      </c>
      <c r="D49" s="19"/>
      <c r="E49" s="5" t="s">
        <v>36</v>
      </c>
      <c r="F49" s="19"/>
      <c r="G49" s="8" t="s">
        <v>55</v>
      </c>
      <c r="H49" s="5" t="s">
        <v>57</v>
      </c>
      <c r="I49" s="19"/>
      <c r="J49" s="7" t="n">
        <v>932</v>
      </c>
      <c r="K49" s="7" t="n">
        <v>28</v>
      </c>
      <c r="L49" s="21" t="n">
        <f aca="false">IFERROR(K49/J49*100,0)</f>
        <v>3.00429184549356</v>
      </c>
    </row>
    <row r="50" customFormat="false" ht="15" hidden="false" customHeight="true" outlineLevel="0" collapsed="false">
      <c r="A50" s="11" t="s">
        <v>137</v>
      </c>
      <c r="B50" s="12" t="s">
        <v>138</v>
      </c>
      <c r="C50" s="11" t="s">
        <v>20</v>
      </c>
      <c r="D50" s="19"/>
      <c r="E50" s="11" t="s">
        <v>24</v>
      </c>
      <c r="F50" s="19"/>
      <c r="G50" s="14" t="s">
        <v>55</v>
      </c>
      <c r="H50" s="11" t="s">
        <v>57</v>
      </c>
      <c r="I50" s="19"/>
      <c r="J50" s="13" t="n">
        <v>1034</v>
      </c>
      <c r="K50" s="13" t="n">
        <v>27</v>
      </c>
      <c r="L50" s="20" t="n">
        <f aca="false">IFERROR(K50/J50*100,0)</f>
        <v>2.61121856866538</v>
      </c>
    </row>
    <row r="51" customFormat="false" ht="15" hidden="false" customHeight="true" outlineLevel="0" collapsed="false">
      <c r="A51" s="5" t="s">
        <v>139</v>
      </c>
      <c r="B51" s="6" t="s">
        <v>138</v>
      </c>
      <c r="C51" s="5" t="s">
        <v>41</v>
      </c>
      <c r="D51" s="19"/>
      <c r="E51" s="5" t="s">
        <v>49</v>
      </c>
      <c r="F51" s="19"/>
      <c r="G51" s="8" t="s">
        <v>55</v>
      </c>
      <c r="H51" s="5" t="s">
        <v>59</v>
      </c>
      <c r="I51" s="19"/>
      <c r="J51" s="7" t="n">
        <v>866</v>
      </c>
      <c r="K51" s="7" t="n">
        <v>27</v>
      </c>
      <c r="L51" s="21" t="n">
        <f aca="false">IFERROR(K51/J51*100,0)</f>
        <v>3.11778290993072</v>
      </c>
    </row>
    <row r="52" customFormat="false" ht="15" hidden="false" customHeight="true" outlineLevel="0" collapsed="false">
      <c r="A52" s="11" t="s">
        <v>140</v>
      </c>
      <c r="B52" s="12" t="s">
        <v>138</v>
      </c>
      <c r="C52" s="11" t="s">
        <v>41</v>
      </c>
      <c r="D52" s="19"/>
      <c r="E52" s="11" t="s">
        <v>36</v>
      </c>
      <c r="F52" s="19"/>
      <c r="G52" s="14" t="s">
        <v>30</v>
      </c>
      <c r="H52" s="11" t="s">
        <v>28</v>
      </c>
      <c r="I52" s="19"/>
      <c r="J52" s="13" t="n">
        <v>1025</v>
      </c>
      <c r="K52" s="13" t="n">
        <v>19</v>
      </c>
      <c r="L52" s="20" t="n">
        <f aca="false">IFERROR(K52/J52*100,0)</f>
        <v>1.85365853658537</v>
      </c>
    </row>
    <row r="53" customFormat="false" ht="15" hidden="false" customHeight="true" outlineLevel="0" collapsed="false">
      <c r="A53" s="5" t="s">
        <v>141</v>
      </c>
      <c r="B53" s="6" t="s">
        <v>142</v>
      </c>
      <c r="C53" s="5" t="s">
        <v>20</v>
      </c>
      <c r="D53" s="19"/>
      <c r="E53" s="5" t="s">
        <v>36</v>
      </c>
      <c r="F53" s="19"/>
      <c r="G53" s="8" t="s">
        <v>30</v>
      </c>
      <c r="H53" s="5" t="s">
        <v>47</v>
      </c>
      <c r="I53" s="19"/>
      <c r="J53" s="7" t="n">
        <v>861</v>
      </c>
      <c r="K53" s="7" t="n">
        <v>10</v>
      </c>
      <c r="L53" s="21" t="n">
        <f aca="false">IFERROR(K53/J53*100,0)</f>
        <v>1.16144018583043</v>
      </c>
    </row>
    <row r="54" customFormat="false" ht="15" hidden="false" customHeight="true" outlineLevel="0" collapsed="false">
      <c r="A54" s="11" t="s">
        <v>143</v>
      </c>
      <c r="B54" s="12" t="s">
        <v>142</v>
      </c>
      <c r="C54" s="11" t="s">
        <v>41</v>
      </c>
      <c r="D54" s="19"/>
      <c r="E54" s="11" t="s">
        <v>24</v>
      </c>
      <c r="F54" s="19"/>
      <c r="G54" s="14" t="s">
        <v>30</v>
      </c>
      <c r="H54" s="11" t="s">
        <v>47</v>
      </c>
      <c r="I54" s="19"/>
      <c r="J54" s="13" t="n">
        <v>1071</v>
      </c>
      <c r="K54" s="13" t="n">
        <v>12</v>
      </c>
      <c r="L54" s="20" t="n">
        <f aca="false">IFERROR(K54/J54*100,0)</f>
        <v>1.12044817927171</v>
      </c>
    </row>
    <row r="55" customFormat="false" ht="15" hidden="false" customHeight="true" outlineLevel="0" collapsed="false">
      <c r="A55" s="5" t="s">
        <v>144</v>
      </c>
      <c r="B55" s="6" t="s">
        <v>145</v>
      </c>
      <c r="C55" s="5" t="s">
        <v>41</v>
      </c>
      <c r="D55" s="19"/>
      <c r="E55" s="5" t="s">
        <v>24</v>
      </c>
      <c r="F55" s="19"/>
      <c r="G55" s="8" t="s">
        <v>30</v>
      </c>
      <c r="H55" s="5" t="s">
        <v>38</v>
      </c>
      <c r="I55" s="19"/>
      <c r="J55" s="7" t="n">
        <v>821</v>
      </c>
      <c r="K55" s="7" t="n">
        <v>12</v>
      </c>
      <c r="L55" s="21" t="n">
        <f aca="false">IFERROR(K55/J55*100,0)</f>
        <v>1.46163215590743</v>
      </c>
    </row>
    <row r="56" customFormat="false" ht="15" hidden="false" customHeight="true" outlineLevel="0" collapsed="false">
      <c r="A56" s="11" t="s">
        <v>146</v>
      </c>
      <c r="B56" s="12" t="s">
        <v>145</v>
      </c>
      <c r="C56" s="11" t="s">
        <v>20</v>
      </c>
      <c r="D56" s="19"/>
      <c r="E56" s="11" t="s">
        <v>49</v>
      </c>
      <c r="F56" s="19"/>
      <c r="G56" s="14" t="s">
        <v>30</v>
      </c>
      <c r="H56" s="11" t="s">
        <v>28</v>
      </c>
      <c r="I56" s="19"/>
      <c r="J56" s="13" t="n">
        <v>1026</v>
      </c>
      <c r="K56" s="13" t="n">
        <v>21</v>
      </c>
      <c r="L56" s="20" t="n">
        <f aca="false">IFERROR(K56/J56*100,0)</f>
        <v>2.04678362573099</v>
      </c>
    </row>
    <row r="57" customFormat="false" ht="15" hidden="false" customHeight="true" outlineLevel="0" collapsed="false">
      <c r="A57" s="5" t="s">
        <v>147</v>
      </c>
      <c r="B57" s="6" t="s">
        <v>148</v>
      </c>
      <c r="C57" s="5" t="s">
        <v>41</v>
      </c>
      <c r="D57" s="19"/>
      <c r="E57" s="5" t="s">
        <v>44</v>
      </c>
      <c r="F57" s="19"/>
      <c r="G57" s="8" t="s">
        <v>30</v>
      </c>
      <c r="H57" s="5" t="s">
        <v>47</v>
      </c>
      <c r="I57" s="19"/>
      <c r="J57" s="7" t="n">
        <v>1044</v>
      </c>
      <c r="K57" s="7" t="n">
        <v>28</v>
      </c>
      <c r="L57" s="21" t="n">
        <f aca="false">IFERROR(K57/J57*100,0)</f>
        <v>2.68199233716475</v>
      </c>
    </row>
    <row r="58" customFormat="false" ht="15" hidden="false" customHeight="true" outlineLevel="0" collapsed="false">
      <c r="A58" s="11" t="s">
        <v>149</v>
      </c>
      <c r="B58" s="12" t="s">
        <v>148</v>
      </c>
      <c r="C58" s="11" t="s">
        <v>41</v>
      </c>
      <c r="D58" s="19"/>
      <c r="E58" s="11" t="s">
        <v>36</v>
      </c>
      <c r="F58" s="19"/>
      <c r="G58" s="14" t="s">
        <v>55</v>
      </c>
      <c r="H58" s="11" t="s">
        <v>57</v>
      </c>
      <c r="I58" s="19"/>
      <c r="J58" s="13" t="n">
        <v>1086</v>
      </c>
      <c r="K58" s="13" t="n">
        <v>34</v>
      </c>
      <c r="L58" s="20" t="n">
        <f aca="false">IFERROR(K58/J58*100,0)</f>
        <v>3.13075506445672</v>
      </c>
    </row>
    <row r="59" customFormat="false" ht="15" hidden="false" customHeight="true" outlineLevel="0" collapsed="false">
      <c r="A59" s="5" t="s">
        <v>150</v>
      </c>
      <c r="B59" s="6" t="s">
        <v>151</v>
      </c>
      <c r="C59" s="5" t="s">
        <v>20</v>
      </c>
      <c r="D59" s="19"/>
      <c r="E59" s="5" t="s">
        <v>49</v>
      </c>
      <c r="F59" s="19"/>
      <c r="G59" s="8" t="s">
        <v>30</v>
      </c>
      <c r="H59" s="5" t="s">
        <v>38</v>
      </c>
      <c r="I59" s="19"/>
      <c r="J59" s="7" t="n">
        <v>961</v>
      </c>
      <c r="K59" s="7" t="n">
        <v>23</v>
      </c>
      <c r="L59" s="21" t="n">
        <f aca="false">IFERROR(K59/J59*100,0)</f>
        <v>2.39334027055151</v>
      </c>
    </row>
    <row r="60" customFormat="false" ht="15" hidden="false" customHeight="true" outlineLevel="0" collapsed="false">
      <c r="A60" s="11" t="s">
        <v>152</v>
      </c>
      <c r="B60" s="12" t="s">
        <v>151</v>
      </c>
      <c r="C60" s="11" t="s">
        <v>20</v>
      </c>
      <c r="D60" s="19"/>
      <c r="E60" s="11" t="s">
        <v>36</v>
      </c>
      <c r="F60" s="19"/>
      <c r="G60" s="14" t="s">
        <v>30</v>
      </c>
      <c r="H60" s="11" t="s">
        <v>28</v>
      </c>
      <c r="I60" s="19"/>
      <c r="J60" s="13" t="n">
        <v>1142</v>
      </c>
      <c r="K60" s="13" t="n">
        <v>19</v>
      </c>
      <c r="L60" s="20" t="n">
        <f aca="false">IFERROR(K60/J60*100,0)</f>
        <v>1.66374781085814</v>
      </c>
    </row>
    <row r="61" customFormat="false" ht="15" hidden="false" customHeight="true" outlineLevel="0" collapsed="false">
      <c r="A61" s="5" t="s">
        <v>153</v>
      </c>
      <c r="B61" s="6" t="s">
        <v>151</v>
      </c>
      <c r="C61" s="5" t="s">
        <v>20</v>
      </c>
      <c r="D61" s="19"/>
      <c r="E61" s="5" t="s">
        <v>44</v>
      </c>
      <c r="F61" s="19"/>
      <c r="G61" s="8" t="s">
        <v>30</v>
      </c>
      <c r="H61" s="5" t="s">
        <v>28</v>
      </c>
      <c r="I61" s="19"/>
      <c r="J61" s="7" t="n">
        <v>1039</v>
      </c>
      <c r="K61" s="7" t="n">
        <v>20</v>
      </c>
      <c r="L61" s="21" t="n">
        <f aca="false">IFERROR(K61/J61*100,0)</f>
        <v>1.92492781520693</v>
      </c>
    </row>
    <row r="62" customFormat="false" ht="15" hidden="false" customHeight="true" outlineLevel="0" collapsed="false">
      <c r="A62" s="11" t="s">
        <v>154</v>
      </c>
      <c r="B62" s="12" t="s">
        <v>155</v>
      </c>
      <c r="C62" s="11" t="s">
        <v>41</v>
      </c>
      <c r="D62" s="19"/>
      <c r="E62" s="11" t="s">
        <v>24</v>
      </c>
      <c r="F62" s="19"/>
      <c r="G62" s="14" t="s">
        <v>30</v>
      </c>
      <c r="H62" s="11" t="s">
        <v>38</v>
      </c>
      <c r="I62" s="19"/>
      <c r="J62" s="13" t="n">
        <v>883</v>
      </c>
      <c r="K62" s="13" t="n">
        <v>22</v>
      </c>
      <c r="L62" s="20" t="n">
        <f aca="false">IFERROR(K62/J62*100,0)</f>
        <v>2.49150622876557</v>
      </c>
    </row>
    <row r="63" customFormat="false" ht="15" hidden="false" customHeight="true" outlineLevel="0" collapsed="false">
      <c r="A63" s="5" t="s">
        <v>156</v>
      </c>
      <c r="B63" s="6" t="s">
        <v>155</v>
      </c>
      <c r="C63" s="5" t="s">
        <v>20</v>
      </c>
      <c r="D63" s="19"/>
      <c r="E63" s="5" t="s">
        <v>49</v>
      </c>
      <c r="F63" s="19"/>
      <c r="G63" s="8" t="s">
        <v>55</v>
      </c>
      <c r="H63" s="5" t="s">
        <v>57</v>
      </c>
      <c r="I63" s="19"/>
      <c r="J63" s="7" t="n">
        <v>973</v>
      </c>
      <c r="K63" s="7" t="n">
        <v>36</v>
      </c>
      <c r="L63" s="21" t="n">
        <f aca="false">IFERROR(K63/J63*100,0)</f>
        <v>3.69989722507708</v>
      </c>
    </row>
    <row r="64" customFormat="false" ht="15" hidden="false" customHeight="true" outlineLevel="0" collapsed="false">
      <c r="A64" s="11" t="s">
        <v>157</v>
      </c>
      <c r="B64" s="12" t="s">
        <v>158</v>
      </c>
      <c r="C64" s="11" t="s">
        <v>20</v>
      </c>
      <c r="D64" s="19"/>
      <c r="E64" s="11" t="s">
        <v>44</v>
      </c>
      <c r="F64" s="19"/>
      <c r="G64" s="14" t="s">
        <v>30</v>
      </c>
      <c r="H64" s="11" t="s">
        <v>47</v>
      </c>
      <c r="I64" s="19"/>
      <c r="J64" s="13" t="n">
        <v>987</v>
      </c>
      <c r="K64" s="13" t="n">
        <v>22</v>
      </c>
      <c r="L64" s="20" t="n">
        <f aca="false">IFERROR(K64/J64*100,0)</f>
        <v>2.2289766970618</v>
      </c>
    </row>
    <row r="65" customFormat="false" ht="15" hidden="false" customHeight="true" outlineLevel="0" collapsed="false">
      <c r="A65" s="5" t="s">
        <v>159</v>
      </c>
      <c r="B65" s="6" t="s">
        <v>158</v>
      </c>
      <c r="C65" s="5" t="s">
        <v>32</v>
      </c>
      <c r="D65" s="19"/>
      <c r="E65" s="5" t="s">
        <v>24</v>
      </c>
      <c r="F65" s="19"/>
      <c r="G65" s="8" t="s">
        <v>30</v>
      </c>
      <c r="H65" s="5" t="s">
        <v>47</v>
      </c>
      <c r="I65" s="19"/>
      <c r="J65" s="7" t="n">
        <v>1119</v>
      </c>
      <c r="K65" s="7" t="n">
        <v>27</v>
      </c>
      <c r="L65" s="21" t="n">
        <f aca="false">IFERROR(K65/J65*100,0)</f>
        <v>2.41286863270777</v>
      </c>
    </row>
    <row r="66" customFormat="false" ht="15" hidden="false" customHeight="true" outlineLevel="0" collapsed="false">
      <c r="A66" s="11" t="s">
        <v>160</v>
      </c>
      <c r="B66" s="12" t="s">
        <v>158</v>
      </c>
      <c r="C66" s="11" t="s">
        <v>32</v>
      </c>
      <c r="D66" s="19"/>
      <c r="E66" s="11" t="s">
        <v>24</v>
      </c>
      <c r="F66" s="19"/>
      <c r="G66" s="14" t="s">
        <v>30</v>
      </c>
      <c r="H66" s="11" t="s">
        <v>28</v>
      </c>
      <c r="I66" s="19"/>
      <c r="J66" s="13" t="n">
        <v>853</v>
      </c>
      <c r="K66" s="13" t="n">
        <v>22</v>
      </c>
      <c r="L66" s="20" t="n">
        <f aca="false">IFERROR(K66/J66*100,0)</f>
        <v>2.57913247362251</v>
      </c>
    </row>
    <row r="67" customFormat="false" ht="15" hidden="false" customHeight="true" outlineLevel="0" collapsed="false">
      <c r="A67" s="5" t="s">
        <v>161</v>
      </c>
      <c r="B67" s="6" t="s">
        <v>162</v>
      </c>
      <c r="C67" s="5" t="s">
        <v>32</v>
      </c>
      <c r="D67" s="19"/>
      <c r="E67" s="5" t="s">
        <v>36</v>
      </c>
      <c r="F67" s="19"/>
      <c r="G67" s="8" t="s">
        <v>55</v>
      </c>
      <c r="H67" s="5" t="s">
        <v>59</v>
      </c>
      <c r="I67" s="19"/>
      <c r="J67" s="7" t="n">
        <v>932</v>
      </c>
      <c r="K67" s="7" t="n">
        <v>35</v>
      </c>
      <c r="L67" s="21" t="n">
        <f aca="false">IFERROR(K67/J67*100,0)</f>
        <v>3.75536480686695</v>
      </c>
    </row>
    <row r="68" customFormat="false" ht="15" hidden="false" customHeight="true" outlineLevel="0" collapsed="false">
      <c r="A68" s="11" t="s">
        <v>163</v>
      </c>
      <c r="B68" s="12" t="s">
        <v>162</v>
      </c>
      <c r="C68" s="11" t="s">
        <v>32</v>
      </c>
      <c r="D68" s="19"/>
      <c r="E68" s="11" t="s">
        <v>36</v>
      </c>
      <c r="F68" s="19"/>
      <c r="G68" s="14" t="s">
        <v>30</v>
      </c>
      <c r="H68" s="11" t="s">
        <v>47</v>
      </c>
      <c r="I68" s="19"/>
      <c r="J68" s="13" t="n">
        <v>1092</v>
      </c>
      <c r="K68" s="13" t="n">
        <v>22</v>
      </c>
      <c r="L68" s="20" t="n">
        <f aca="false">IFERROR(K68/J68*100,0)</f>
        <v>2.01465201465201</v>
      </c>
    </row>
    <row r="69" customFormat="false" ht="15" hidden="false" customHeight="true" outlineLevel="0" collapsed="false">
      <c r="A69" s="5" t="s">
        <v>164</v>
      </c>
      <c r="B69" s="6" t="s">
        <v>165</v>
      </c>
      <c r="C69" s="5" t="s">
        <v>20</v>
      </c>
      <c r="D69" s="19"/>
      <c r="E69" s="5" t="s">
        <v>36</v>
      </c>
      <c r="F69" s="19"/>
      <c r="G69" s="8" t="s">
        <v>30</v>
      </c>
      <c r="H69" s="5" t="s">
        <v>28</v>
      </c>
      <c r="I69" s="19"/>
      <c r="J69" s="7" t="n">
        <v>937</v>
      </c>
      <c r="K69" s="7" t="n">
        <v>16</v>
      </c>
      <c r="L69" s="21" t="n">
        <f aca="false">IFERROR(K69/J69*100,0)</f>
        <v>1.70757737459979</v>
      </c>
    </row>
    <row r="70" customFormat="false" ht="15" hidden="false" customHeight="true" outlineLevel="0" collapsed="false">
      <c r="A70" s="11" t="s">
        <v>166</v>
      </c>
      <c r="B70" s="12" t="s">
        <v>165</v>
      </c>
      <c r="C70" s="11" t="s">
        <v>20</v>
      </c>
      <c r="D70" s="19"/>
      <c r="E70" s="11" t="s">
        <v>24</v>
      </c>
      <c r="F70" s="19"/>
      <c r="G70" s="14" t="s">
        <v>55</v>
      </c>
      <c r="H70" s="11" t="s">
        <v>53</v>
      </c>
      <c r="I70" s="19"/>
      <c r="J70" s="13" t="n">
        <v>1111</v>
      </c>
      <c r="K70" s="13" t="n">
        <v>34</v>
      </c>
      <c r="L70" s="20" t="n">
        <f aca="false">IFERROR(K70/J70*100,0)</f>
        <v>3.06030603060306</v>
      </c>
    </row>
    <row r="71" customFormat="false" ht="15" hidden="false" customHeight="true" outlineLevel="0" collapsed="false">
      <c r="A71" s="5" t="s">
        <v>167</v>
      </c>
      <c r="B71" s="6" t="s">
        <v>165</v>
      </c>
      <c r="C71" s="5" t="s">
        <v>20</v>
      </c>
      <c r="D71" s="19"/>
      <c r="E71" s="5" t="s">
        <v>49</v>
      </c>
      <c r="F71" s="19"/>
      <c r="G71" s="8" t="s">
        <v>30</v>
      </c>
      <c r="H71" s="5" t="s">
        <v>47</v>
      </c>
      <c r="I71" s="19"/>
      <c r="J71" s="7" t="n">
        <v>1013</v>
      </c>
      <c r="K71" s="7" t="n">
        <v>25</v>
      </c>
      <c r="L71" s="21" t="n">
        <f aca="false">IFERROR(K71/J71*100,0)</f>
        <v>2.46791707798618</v>
      </c>
    </row>
    <row r="72" customFormat="false" ht="15" hidden="false" customHeight="true" outlineLevel="0" collapsed="false">
      <c r="A72" s="11" t="s">
        <v>168</v>
      </c>
      <c r="B72" s="12" t="s">
        <v>169</v>
      </c>
      <c r="C72" s="11" t="s">
        <v>41</v>
      </c>
      <c r="D72" s="19"/>
      <c r="E72" s="11" t="s">
        <v>36</v>
      </c>
      <c r="F72" s="19"/>
      <c r="G72" s="14" t="s">
        <v>30</v>
      </c>
      <c r="H72" s="11" t="s">
        <v>47</v>
      </c>
      <c r="I72" s="19"/>
      <c r="J72" s="13" t="n">
        <v>922</v>
      </c>
      <c r="K72" s="13" t="n">
        <v>25</v>
      </c>
      <c r="L72" s="20" t="n">
        <f aca="false">IFERROR(K72/J72*100,0)</f>
        <v>2.71149674620391</v>
      </c>
    </row>
    <row r="73" customFormat="false" ht="15" hidden="false" customHeight="true" outlineLevel="0" collapsed="false">
      <c r="A73" s="5" t="s">
        <v>170</v>
      </c>
      <c r="B73" s="6" t="s">
        <v>169</v>
      </c>
      <c r="C73" s="5" t="s">
        <v>32</v>
      </c>
      <c r="D73" s="19"/>
      <c r="E73" s="5" t="s">
        <v>24</v>
      </c>
      <c r="F73" s="19"/>
      <c r="G73" s="8" t="s">
        <v>30</v>
      </c>
      <c r="H73" s="5" t="s">
        <v>38</v>
      </c>
      <c r="I73" s="19"/>
      <c r="J73" s="7" t="n">
        <v>1121</v>
      </c>
      <c r="K73" s="7" t="n">
        <v>22</v>
      </c>
      <c r="L73" s="21" t="n">
        <f aca="false">IFERROR(K73/J73*100,0)</f>
        <v>1.96253345227475</v>
      </c>
    </row>
    <row r="74" customFormat="false" ht="15" hidden="false" customHeight="true" outlineLevel="0" collapsed="false">
      <c r="A74" s="11" t="s">
        <v>171</v>
      </c>
      <c r="B74" s="12" t="s">
        <v>169</v>
      </c>
      <c r="C74" s="11" t="s">
        <v>32</v>
      </c>
      <c r="D74" s="19"/>
      <c r="E74" s="11" t="s">
        <v>36</v>
      </c>
      <c r="F74" s="19"/>
      <c r="G74" s="14" t="s">
        <v>30</v>
      </c>
      <c r="H74" s="11" t="s">
        <v>47</v>
      </c>
      <c r="I74" s="19"/>
      <c r="J74" s="13" t="n">
        <v>1144</v>
      </c>
      <c r="K74" s="13" t="n">
        <v>29</v>
      </c>
      <c r="L74" s="20" t="n">
        <f aca="false">IFERROR(K74/J74*100,0)</f>
        <v>2.53496503496504</v>
      </c>
    </row>
    <row r="75" customFormat="false" ht="15" hidden="false" customHeight="true" outlineLevel="0" collapsed="false">
      <c r="A75" s="5" t="s">
        <v>172</v>
      </c>
      <c r="B75" s="6" t="s">
        <v>173</v>
      </c>
      <c r="C75" s="5" t="s">
        <v>32</v>
      </c>
      <c r="D75" s="19"/>
      <c r="E75" s="5" t="s">
        <v>24</v>
      </c>
      <c r="F75" s="19"/>
      <c r="G75" s="8" t="s">
        <v>30</v>
      </c>
      <c r="H75" s="5" t="s">
        <v>47</v>
      </c>
      <c r="I75" s="19"/>
      <c r="J75" s="7" t="n">
        <v>1058</v>
      </c>
      <c r="K75" s="7" t="n">
        <v>28</v>
      </c>
      <c r="L75" s="21" t="n">
        <f aca="false">IFERROR(K75/J75*100,0)</f>
        <v>2.64650283553875</v>
      </c>
    </row>
    <row r="76" customFormat="false" ht="15" hidden="false" customHeight="true" outlineLevel="0" collapsed="false">
      <c r="A76" s="11" t="s">
        <v>174</v>
      </c>
      <c r="B76" s="12" t="s">
        <v>173</v>
      </c>
      <c r="C76" s="11" t="s">
        <v>41</v>
      </c>
      <c r="D76" s="19"/>
      <c r="E76" s="11" t="s">
        <v>36</v>
      </c>
      <c r="F76" s="19"/>
      <c r="G76" s="14" t="s">
        <v>30</v>
      </c>
      <c r="H76" s="11" t="s">
        <v>28</v>
      </c>
      <c r="I76" s="19"/>
      <c r="J76" s="13" t="n">
        <v>1028</v>
      </c>
      <c r="K76" s="13" t="n">
        <v>24</v>
      </c>
      <c r="L76" s="20" t="n">
        <f aca="false">IFERROR(K76/J76*100,0)</f>
        <v>2.33463035019455</v>
      </c>
    </row>
    <row r="77" customFormat="false" ht="15" hidden="false" customHeight="true" outlineLevel="0" collapsed="false">
      <c r="A77" s="5" t="s">
        <v>175</v>
      </c>
      <c r="B77" s="6" t="s">
        <v>176</v>
      </c>
      <c r="C77" s="5" t="s">
        <v>41</v>
      </c>
      <c r="D77" s="19"/>
      <c r="E77" s="5" t="s">
        <v>49</v>
      </c>
      <c r="F77" s="19"/>
      <c r="G77" s="8" t="s">
        <v>30</v>
      </c>
      <c r="H77" s="5" t="s">
        <v>38</v>
      </c>
      <c r="I77" s="19"/>
      <c r="J77" s="7" t="n">
        <v>1059</v>
      </c>
      <c r="K77" s="7" t="n">
        <v>32</v>
      </c>
      <c r="L77" s="21" t="n">
        <f aca="false">IFERROR(K77/J77*100,0)</f>
        <v>3.02171860245515</v>
      </c>
    </row>
    <row r="78" customFormat="false" ht="15" hidden="false" customHeight="true" outlineLevel="0" collapsed="false">
      <c r="A78" s="11" t="s">
        <v>177</v>
      </c>
      <c r="B78" s="12" t="s">
        <v>176</v>
      </c>
      <c r="C78" s="11" t="s">
        <v>32</v>
      </c>
      <c r="D78" s="19"/>
      <c r="E78" s="11" t="s">
        <v>36</v>
      </c>
      <c r="F78" s="19"/>
      <c r="G78" s="14" t="s">
        <v>55</v>
      </c>
      <c r="H78" s="11" t="s">
        <v>57</v>
      </c>
      <c r="I78" s="19"/>
      <c r="J78" s="13" t="n">
        <v>901</v>
      </c>
      <c r="K78" s="13" t="n">
        <v>35</v>
      </c>
      <c r="L78" s="20" t="n">
        <f aca="false">IFERROR(K78/J78*100,0)</f>
        <v>3.88457269700333</v>
      </c>
    </row>
    <row r="79" customFormat="false" ht="15" hidden="false" customHeight="true" outlineLevel="0" collapsed="false">
      <c r="A79" s="5" t="s">
        <v>178</v>
      </c>
      <c r="B79" s="6" t="s">
        <v>176</v>
      </c>
      <c r="C79" s="5" t="s">
        <v>41</v>
      </c>
      <c r="D79" s="19"/>
      <c r="E79" s="5" t="s">
        <v>36</v>
      </c>
      <c r="F79" s="19"/>
      <c r="G79" s="8" t="s">
        <v>30</v>
      </c>
      <c r="H79" s="5" t="s">
        <v>38</v>
      </c>
      <c r="I79" s="19"/>
      <c r="J79" s="7" t="n">
        <v>827</v>
      </c>
      <c r="K79" s="7" t="n">
        <v>10</v>
      </c>
      <c r="L79" s="21" t="n">
        <f aca="false">IFERROR(K79/J79*100,0)</f>
        <v>1.20918984280532</v>
      </c>
    </row>
    <row r="80" customFormat="false" ht="15" hidden="false" customHeight="true" outlineLevel="0" collapsed="false">
      <c r="A80" s="11" t="s">
        <v>179</v>
      </c>
      <c r="B80" s="12" t="s">
        <v>180</v>
      </c>
      <c r="C80" s="11" t="s">
        <v>20</v>
      </c>
      <c r="D80" s="19"/>
      <c r="E80" s="11" t="s">
        <v>24</v>
      </c>
      <c r="F80" s="19"/>
      <c r="G80" s="14" t="s">
        <v>55</v>
      </c>
      <c r="H80" s="11" t="s">
        <v>57</v>
      </c>
      <c r="I80" s="19"/>
      <c r="J80" s="13" t="n">
        <v>1020</v>
      </c>
      <c r="K80" s="13" t="n">
        <v>31</v>
      </c>
      <c r="L80" s="20" t="n">
        <f aca="false">IFERROR(K80/J80*100,0)</f>
        <v>3.03921568627451</v>
      </c>
    </row>
    <row r="81" customFormat="false" ht="15" hidden="false" customHeight="true" outlineLevel="0" collapsed="false">
      <c r="A81" s="5" t="s">
        <v>181</v>
      </c>
      <c r="B81" s="6" t="s">
        <v>180</v>
      </c>
      <c r="C81" s="5" t="s">
        <v>32</v>
      </c>
      <c r="D81" s="19"/>
      <c r="E81" s="5" t="s">
        <v>44</v>
      </c>
      <c r="F81" s="19"/>
      <c r="G81" s="8" t="s">
        <v>30</v>
      </c>
      <c r="H81" s="5" t="s">
        <v>47</v>
      </c>
      <c r="I81" s="19"/>
      <c r="J81" s="7" t="n">
        <v>950</v>
      </c>
      <c r="K81" s="7" t="n">
        <v>24</v>
      </c>
      <c r="L81" s="21" t="n">
        <f aca="false">IFERROR(K81/J81*100,0)</f>
        <v>2.52631578947368</v>
      </c>
    </row>
    <row r="82" customFormat="false" ht="15" hidden="false" customHeight="true" outlineLevel="0" collapsed="false">
      <c r="A82" s="11" t="s">
        <v>182</v>
      </c>
      <c r="B82" s="12" t="s">
        <v>183</v>
      </c>
      <c r="C82" s="11" t="s">
        <v>32</v>
      </c>
      <c r="D82" s="19"/>
      <c r="E82" s="11" t="s">
        <v>36</v>
      </c>
      <c r="F82" s="19"/>
      <c r="G82" s="14" t="s">
        <v>30</v>
      </c>
      <c r="H82" s="11" t="s">
        <v>38</v>
      </c>
      <c r="I82" s="19"/>
      <c r="J82" s="13" t="n">
        <v>801</v>
      </c>
      <c r="K82" s="13" t="n">
        <v>18</v>
      </c>
      <c r="L82" s="20" t="n">
        <f aca="false">IFERROR(K82/J82*100,0)</f>
        <v>2.24719101123596</v>
      </c>
    </row>
    <row r="83" customFormat="false" ht="15" hidden="false" customHeight="true" outlineLevel="0" collapsed="false">
      <c r="A83" s="5" t="s">
        <v>184</v>
      </c>
      <c r="B83" s="6" t="s">
        <v>183</v>
      </c>
      <c r="C83" s="5" t="s">
        <v>41</v>
      </c>
      <c r="D83" s="19"/>
      <c r="E83" s="5" t="s">
        <v>44</v>
      </c>
      <c r="F83" s="19"/>
      <c r="G83" s="8" t="s">
        <v>30</v>
      </c>
      <c r="H83" s="5" t="s">
        <v>38</v>
      </c>
      <c r="I83" s="19"/>
      <c r="J83" s="7" t="n">
        <v>911</v>
      </c>
      <c r="K83" s="7" t="n">
        <v>25</v>
      </c>
      <c r="L83" s="21" t="n">
        <f aca="false">IFERROR(K83/J83*100,0)</f>
        <v>2.74423710208562</v>
      </c>
    </row>
    <row r="84" customFormat="false" ht="15" hidden="false" customHeight="true" outlineLevel="0" collapsed="false">
      <c r="A84" s="11" t="s">
        <v>185</v>
      </c>
      <c r="B84" s="12" t="s">
        <v>186</v>
      </c>
      <c r="C84" s="11" t="s">
        <v>20</v>
      </c>
      <c r="D84" s="19"/>
      <c r="E84" s="11" t="s">
        <v>24</v>
      </c>
      <c r="F84" s="19"/>
      <c r="G84" s="14" t="s">
        <v>30</v>
      </c>
      <c r="H84" s="11" t="s">
        <v>28</v>
      </c>
      <c r="I84" s="19"/>
      <c r="J84" s="13" t="n">
        <v>1043</v>
      </c>
      <c r="K84" s="13" t="n">
        <v>17</v>
      </c>
      <c r="L84" s="20" t="n">
        <f aca="false">IFERROR(K84/J84*100,0)</f>
        <v>1.62991371045062</v>
      </c>
    </row>
    <row r="85" customFormat="false" ht="15" hidden="false" customHeight="true" outlineLevel="0" collapsed="false">
      <c r="A85" s="5" t="s">
        <v>187</v>
      </c>
      <c r="B85" s="6" t="s">
        <v>186</v>
      </c>
      <c r="C85" s="5" t="s">
        <v>20</v>
      </c>
      <c r="D85" s="19"/>
      <c r="E85" s="5" t="s">
        <v>24</v>
      </c>
      <c r="F85" s="19"/>
      <c r="G85" s="8" t="s">
        <v>30</v>
      </c>
      <c r="H85" s="5" t="s">
        <v>28</v>
      </c>
      <c r="I85" s="19"/>
      <c r="J85" s="7" t="n">
        <v>873</v>
      </c>
      <c r="K85" s="7" t="n">
        <v>20</v>
      </c>
      <c r="L85" s="21" t="n">
        <f aca="false">IFERROR(K85/J85*100,0)</f>
        <v>2.29095074455899</v>
      </c>
    </row>
    <row r="86" customFormat="false" ht="15" hidden="false" customHeight="true" outlineLevel="0" collapsed="false">
      <c r="A86" s="11" t="s">
        <v>188</v>
      </c>
      <c r="B86" s="12" t="s">
        <v>186</v>
      </c>
      <c r="C86" s="11" t="s">
        <v>32</v>
      </c>
      <c r="D86" s="19"/>
      <c r="E86" s="11" t="s">
        <v>24</v>
      </c>
      <c r="F86" s="19"/>
      <c r="G86" s="14" t="s">
        <v>30</v>
      </c>
      <c r="H86" s="11" t="s">
        <v>38</v>
      </c>
      <c r="I86" s="19"/>
      <c r="J86" s="13" t="n">
        <v>955</v>
      </c>
      <c r="K86" s="13" t="n">
        <v>21</v>
      </c>
      <c r="L86" s="20" t="n">
        <f aca="false">IFERROR(K86/J86*100,0)</f>
        <v>2.19895287958115</v>
      </c>
    </row>
    <row r="87" customFormat="false" ht="15" hidden="false" customHeight="true" outlineLevel="0" collapsed="false">
      <c r="A87" s="5" t="s">
        <v>189</v>
      </c>
      <c r="B87" s="6" t="s">
        <v>190</v>
      </c>
      <c r="C87" s="5" t="s">
        <v>41</v>
      </c>
      <c r="D87" s="19"/>
      <c r="E87" s="5" t="s">
        <v>49</v>
      </c>
      <c r="F87" s="19"/>
      <c r="G87" s="8" t="s">
        <v>55</v>
      </c>
      <c r="H87" s="5" t="s">
        <v>59</v>
      </c>
      <c r="I87" s="19"/>
      <c r="J87" s="7" t="n">
        <v>1053</v>
      </c>
      <c r="K87" s="7" t="n">
        <v>38</v>
      </c>
      <c r="L87" s="21" t="n">
        <f aca="false">IFERROR(K87/J87*100,0)</f>
        <v>3.60873694207028</v>
      </c>
    </row>
    <row r="88" customFormat="false" ht="15" hidden="false" customHeight="true" outlineLevel="0" collapsed="false">
      <c r="A88" s="11" t="s">
        <v>191</v>
      </c>
      <c r="B88" s="12" t="s">
        <v>190</v>
      </c>
      <c r="C88" s="11" t="s">
        <v>20</v>
      </c>
      <c r="D88" s="19"/>
      <c r="E88" s="11" t="s">
        <v>44</v>
      </c>
      <c r="F88" s="19"/>
      <c r="G88" s="14" t="s">
        <v>55</v>
      </c>
      <c r="H88" s="11" t="s">
        <v>59</v>
      </c>
      <c r="I88" s="19"/>
      <c r="J88" s="13" t="n">
        <v>874</v>
      </c>
      <c r="K88" s="13" t="n">
        <v>32</v>
      </c>
      <c r="L88" s="20" t="n">
        <f aca="false">IFERROR(K88/J88*100,0)</f>
        <v>3.66132723112128</v>
      </c>
    </row>
    <row r="89" customFormat="false" ht="15" hidden="false" customHeight="true" outlineLevel="0" collapsed="false">
      <c r="A89" s="5" t="s">
        <v>192</v>
      </c>
      <c r="B89" s="6" t="s">
        <v>193</v>
      </c>
      <c r="C89" s="5" t="s">
        <v>41</v>
      </c>
      <c r="D89" s="19"/>
      <c r="E89" s="5" t="s">
        <v>36</v>
      </c>
      <c r="F89" s="19"/>
      <c r="G89" s="8" t="s">
        <v>55</v>
      </c>
      <c r="H89" s="5" t="s">
        <v>59</v>
      </c>
      <c r="I89" s="19"/>
      <c r="J89" s="7" t="n">
        <v>1091</v>
      </c>
      <c r="K89" s="7" t="n">
        <v>34</v>
      </c>
      <c r="L89" s="21" t="n">
        <f aca="false">IFERROR(K89/J89*100,0)</f>
        <v>3.11640696608616</v>
      </c>
    </row>
    <row r="90" customFormat="false" ht="15" hidden="false" customHeight="true" outlineLevel="0" collapsed="false">
      <c r="A90" s="11" t="s">
        <v>194</v>
      </c>
      <c r="B90" s="12" t="s">
        <v>193</v>
      </c>
      <c r="C90" s="11" t="s">
        <v>20</v>
      </c>
      <c r="D90" s="19"/>
      <c r="E90" s="11" t="s">
        <v>36</v>
      </c>
      <c r="F90" s="19"/>
      <c r="G90" s="14" t="s">
        <v>30</v>
      </c>
      <c r="H90" s="11" t="s">
        <v>28</v>
      </c>
      <c r="I90" s="19"/>
      <c r="J90" s="13" t="n">
        <v>868</v>
      </c>
      <c r="K90" s="13" t="n">
        <v>9</v>
      </c>
      <c r="L90" s="20" t="n">
        <f aca="false">IFERROR(K90/J90*100,0)</f>
        <v>1.036866359447</v>
      </c>
    </row>
    <row r="91" customFormat="false" ht="15" hidden="false" customHeight="true" outlineLevel="0" collapsed="false">
      <c r="A91" s="5" t="s">
        <v>195</v>
      </c>
      <c r="B91" s="6" t="s">
        <v>193</v>
      </c>
      <c r="C91" s="5" t="s">
        <v>32</v>
      </c>
      <c r="D91" s="19"/>
      <c r="E91" s="5" t="s">
        <v>49</v>
      </c>
      <c r="F91" s="19"/>
      <c r="G91" s="8" t="s">
        <v>30</v>
      </c>
      <c r="H91" s="5" t="s">
        <v>47</v>
      </c>
      <c r="I91" s="19"/>
      <c r="J91" s="7" t="n">
        <v>809</v>
      </c>
      <c r="K91" s="7" t="n">
        <v>19</v>
      </c>
      <c r="L91" s="21" t="n">
        <f aca="false">IFERROR(K91/J91*100,0)</f>
        <v>2.34857849196539</v>
      </c>
    </row>
    <row r="92" customFormat="false" ht="15" hidden="false" customHeight="true" outlineLevel="0" collapsed="false">
      <c r="A92" s="11" t="s">
        <v>196</v>
      </c>
      <c r="B92" s="12" t="s">
        <v>197</v>
      </c>
      <c r="C92" s="11" t="s">
        <v>32</v>
      </c>
      <c r="D92" s="19"/>
      <c r="E92" s="11" t="s">
        <v>44</v>
      </c>
      <c r="F92" s="19"/>
      <c r="G92" s="14" t="s">
        <v>30</v>
      </c>
      <c r="H92" s="11" t="s">
        <v>28</v>
      </c>
      <c r="I92" s="19"/>
      <c r="J92" s="13" t="n">
        <v>1183</v>
      </c>
      <c r="K92" s="13" t="n">
        <v>37</v>
      </c>
      <c r="L92" s="20" t="n">
        <f aca="false">IFERROR(K92/J92*100,0)</f>
        <v>3.12764158918005</v>
      </c>
    </row>
    <row r="93" customFormat="false" ht="15" hidden="false" customHeight="true" outlineLevel="0" collapsed="false">
      <c r="A93" s="5" t="s">
        <v>198</v>
      </c>
      <c r="B93" s="6" t="s">
        <v>197</v>
      </c>
      <c r="C93" s="5" t="s">
        <v>20</v>
      </c>
      <c r="D93" s="19"/>
      <c r="E93" s="5" t="s">
        <v>24</v>
      </c>
      <c r="F93" s="19"/>
      <c r="G93" s="8" t="s">
        <v>55</v>
      </c>
      <c r="H93" s="5" t="s">
        <v>57</v>
      </c>
      <c r="I93" s="19"/>
      <c r="J93" s="7" t="n">
        <v>929</v>
      </c>
      <c r="K93" s="7" t="n">
        <v>24</v>
      </c>
      <c r="L93" s="21" t="n">
        <f aca="false">IFERROR(K93/J93*100,0)</f>
        <v>2.58342303552207</v>
      </c>
    </row>
    <row r="94" customFormat="false" ht="15" hidden="false" customHeight="true" outlineLevel="0" collapsed="false">
      <c r="A94" s="11" t="s">
        <v>199</v>
      </c>
      <c r="B94" s="12" t="s">
        <v>200</v>
      </c>
      <c r="C94" s="11" t="s">
        <v>32</v>
      </c>
      <c r="D94" s="19"/>
      <c r="E94" s="11" t="s">
        <v>36</v>
      </c>
      <c r="F94" s="19"/>
      <c r="G94" s="14" t="s">
        <v>55</v>
      </c>
      <c r="H94" s="11" t="s">
        <v>53</v>
      </c>
      <c r="I94" s="19"/>
      <c r="J94" s="13" t="n">
        <v>918</v>
      </c>
      <c r="K94" s="13" t="n">
        <v>32</v>
      </c>
      <c r="L94" s="20" t="n">
        <f aca="false">IFERROR(K94/J94*100,0)</f>
        <v>3.48583877995643</v>
      </c>
    </row>
    <row r="95" customFormat="false" ht="15" hidden="false" customHeight="true" outlineLevel="0" collapsed="false">
      <c r="A95" s="5" t="s">
        <v>201</v>
      </c>
      <c r="B95" s="6" t="s">
        <v>200</v>
      </c>
      <c r="C95" s="5" t="s">
        <v>32</v>
      </c>
      <c r="D95" s="19"/>
      <c r="E95" s="5" t="s">
        <v>49</v>
      </c>
      <c r="F95" s="19"/>
      <c r="G95" s="8" t="s">
        <v>30</v>
      </c>
      <c r="H95" s="5" t="s">
        <v>47</v>
      </c>
      <c r="I95" s="19"/>
      <c r="J95" s="7" t="n">
        <v>947</v>
      </c>
      <c r="K95" s="7" t="n">
        <v>19</v>
      </c>
      <c r="L95" s="21" t="n">
        <f aca="false">IFERROR(K95/J95*100,0)</f>
        <v>2.00633579725449</v>
      </c>
    </row>
    <row r="96" customFormat="false" ht="15" hidden="false" customHeight="true" outlineLevel="0" collapsed="false">
      <c r="A96" s="11" t="s">
        <v>202</v>
      </c>
      <c r="B96" s="12" t="s">
        <v>203</v>
      </c>
      <c r="C96" s="11" t="s">
        <v>41</v>
      </c>
      <c r="D96" s="19"/>
      <c r="E96" s="11" t="s">
        <v>36</v>
      </c>
      <c r="F96" s="19"/>
      <c r="G96" s="14" t="s">
        <v>30</v>
      </c>
      <c r="H96" s="11" t="s">
        <v>28</v>
      </c>
      <c r="I96" s="19"/>
      <c r="J96" s="13" t="n">
        <v>969</v>
      </c>
      <c r="K96" s="13" t="n">
        <v>17</v>
      </c>
      <c r="L96" s="20" t="n">
        <f aca="false">IFERROR(K96/J96*100,0)</f>
        <v>1.75438596491228</v>
      </c>
    </row>
    <row r="97" customFormat="false" ht="15" hidden="false" customHeight="true" outlineLevel="0" collapsed="false">
      <c r="A97" s="5" t="s">
        <v>204</v>
      </c>
      <c r="B97" s="6" t="s">
        <v>203</v>
      </c>
      <c r="C97" s="5" t="s">
        <v>32</v>
      </c>
      <c r="D97" s="19"/>
      <c r="E97" s="5" t="s">
        <v>36</v>
      </c>
      <c r="F97" s="19"/>
      <c r="G97" s="8" t="s">
        <v>30</v>
      </c>
      <c r="H97" s="5" t="s">
        <v>28</v>
      </c>
      <c r="I97" s="19"/>
      <c r="J97" s="7" t="n">
        <v>1048</v>
      </c>
      <c r="K97" s="7" t="n">
        <v>32</v>
      </c>
      <c r="L97" s="21" t="n">
        <f aca="false">IFERROR(K97/J97*100,0)</f>
        <v>3.05343511450382</v>
      </c>
    </row>
    <row r="98" customFormat="false" ht="15" hidden="false" customHeight="true" outlineLevel="0" collapsed="false">
      <c r="A98" s="11" t="s">
        <v>205</v>
      </c>
      <c r="B98" s="12" t="s">
        <v>206</v>
      </c>
      <c r="C98" s="11" t="s">
        <v>41</v>
      </c>
      <c r="D98" s="19"/>
      <c r="E98" s="11" t="s">
        <v>24</v>
      </c>
      <c r="F98" s="19"/>
      <c r="G98" s="14" t="s">
        <v>55</v>
      </c>
      <c r="H98" s="11" t="s">
        <v>59</v>
      </c>
      <c r="I98" s="19"/>
      <c r="J98" s="13" t="n">
        <v>1050</v>
      </c>
      <c r="K98" s="13" t="n">
        <v>30</v>
      </c>
      <c r="L98" s="20" t="n">
        <f aca="false">IFERROR(K98/J98*100,0)</f>
        <v>2.85714285714286</v>
      </c>
    </row>
    <row r="99" customFormat="false" ht="15" hidden="false" customHeight="true" outlineLevel="0" collapsed="false">
      <c r="A99" s="5" t="s">
        <v>207</v>
      </c>
      <c r="B99" s="6" t="s">
        <v>206</v>
      </c>
      <c r="C99" s="5" t="s">
        <v>32</v>
      </c>
      <c r="D99" s="19"/>
      <c r="E99" s="5" t="s">
        <v>49</v>
      </c>
      <c r="F99" s="19"/>
      <c r="G99" s="8" t="s">
        <v>30</v>
      </c>
      <c r="H99" s="5" t="s">
        <v>28</v>
      </c>
      <c r="I99" s="19"/>
      <c r="J99" s="7" t="n">
        <v>1081</v>
      </c>
      <c r="K99" s="7" t="n">
        <v>39</v>
      </c>
      <c r="L99" s="21" t="n">
        <f aca="false">IFERROR(K99/J99*100,0)</f>
        <v>3.60777058279371</v>
      </c>
    </row>
    <row r="100" customFormat="false" ht="15" hidden="false" customHeight="true" outlineLevel="0" collapsed="false">
      <c r="A100" s="11" t="s">
        <v>208</v>
      </c>
      <c r="B100" s="12" t="s">
        <v>206</v>
      </c>
      <c r="C100" s="11" t="s">
        <v>20</v>
      </c>
      <c r="D100" s="19"/>
      <c r="E100" s="11" t="s">
        <v>44</v>
      </c>
      <c r="F100" s="19"/>
      <c r="G100" s="14" t="s">
        <v>55</v>
      </c>
      <c r="H100" s="11" t="s">
        <v>57</v>
      </c>
      <c r="I100" s="19"/>
      <c r="J100" s="13" t="n">
        <v>808</v>
      </c>
      <c r="K100" s="13" t="n">
        <v>23</v>
      </c>
      <c r="L100" s="20" t="n">
        <f aca="false">IFERROR(K100/J100*100,0)</f>
        <v>2.84653465346535</v>
      </c>
    </row>
    <row r="101" customFormat="false" ht="15" hidden="false" customHeight="true" outlineLevel="0" collapsed="false">
      <c r="A101" s="5" t="s">
        <v>209</v>
      </c>
      <c r="B101" s="6" t="s">
        <v>210</v>
      </c>
      <c r="C101" s="5" t="s">
        <v>32</v>
      </c>
      <c r="D101" s="19"/>
      <c r="E101" s="5" t="s">
        <v>49</v>
      </c>
      <c r="F101" s="19"/>
      <c r="G101" s="8" t="s">
        <v>30</v>
      </c>
      <c r="H101" s="5" t="s">
        <v>28</v>
      </c>
      <c r="I101" s="19"/>
      <c r="J101" s="7" t="n">
        <v>838</v>
      </c>
      <c r="K101" s="7" t="n">
        <v>28</v>
      </c>
      <c r="L101" s="21" t="n">
        <f aca="false">IFERROR(K101/J101*100,0)</f>
        <v>3.34128878281623</v>
      </c>
    </row>
    <row r="102" customFormat="false" ht="15" hidden="false" customHeight="true" outlineLevel="0" collapsed="false">
      <c r="A102" s="11" t="s">
        <v>211</v>
      </c>
      <c r="B102" s="12" t="s">
        <v>210</v>
      </c>
      <c r="C102" s="11" t="s">
        <v>41</v>
      </c>
      <c r="D102" s="19"/>
      <c r="E102" s="11" t="s">
        <v>24</v>
      </c>
      <c r="F102" s="19"/>
      <c r="G102" s="14" t="s">
        <v>30</v>
      </c>
      <c r="H102" s="11" t="s">
        <v>47</v>
      </c>
      <c r="I102" s="19"/>
      <c r="J102" s="13" t="n">
        <v>934</v>
      </c>
      <c r="K102" s="13" t="n">
        <v>18</v>
      </c>
      <c r="L102" s="20" t="n">
        <f aca="false">IFERROR(K102/J102*100,0)</f>
        <v>1.9271948608137</v>
      </c>
    </row>
    <row r="103" customFormat="false" ht="15" hidden="false" customHeight="true" outlineLevel="0" collapsed="false">
      <c r="A103" s="5" t="s">
        <v>212</v>
      </c>
      <c r="B103" s="6" t="s">
        <v>210</v>
      </c>
      <c r="C103" s="5" t="s">
        <v>41</v>
      </c>
      <c r="D103" s="19"/>
      <c r="E103" s="5" t="s">
        <v>44</v>
      </c>
      <c r="F103" s="19"/>
      <c r="G103" s="8" t="s">
        <v>55</v>
      </c>
      <c r="H103" s="5" t="s">
        <v>59</v>
      </c>
      <c r="I103" s="19"/>
      <c r="J103" s="7" t="n">
        <v>986</v>
      </c>
      <c r="K103" s="7" t="n">
        <v>28</v>
      </c>
      <c r="L103" s="21" t="n">
        <f aca="false">IFERROR(K103/J103*100,0)</f>
        <v>2.83975659229209</v>
      </c>
    </row>
    <row r="104" customFormat="false" ht="15" hidden="false" customHeight="true" outlineLevel="0" collapsed="false">
      <c r="A104" s="11" t="s">
        <v>213</v>
      </c>
      <c r="B104" s="12" t="s">
        <v>214</v>
      </c>
      <c r="C104" s="11" t="s">
        <v>32</v>
      </c>
      <c r="D104" s="19"/>
      <c r="E104" s="11" t="s">
        <v>49</v>
      </c>
      <c r="F104" s="19"/>
      <c r="G104" s="14" t="s">
        <v>30</v>
      </c>
      <c r="H104" s="11" t="s">
        <v>28</v>
      </c>
      <c r="I104" s="19"/>
      <c r="J104" s="13" t="n">
        <v>801</v>
      </c>
      <c r="K104" s="13" t="n">
        <v>30</v>
      </c>
      <c r="L104" s="20" t="n">
        <f aca="false">IFERROR(K104/J104*100,0)</f>
        <v>3.74531835205993</v>
      </c>
    </row>
    <row r="105" customFormat="false" ht="15" hidden="false" customHeight="true" outlineLevel="0" collapsed="false">
      <c r="A105" s="5" t="s">
        <v>215</v>
      </c>
      <c r="B105" s="6" t="s">
        <v>214</v>
      </c>
      <c r="C105" s="5" t="s">
        <v>32</v>
      </c>
      <c r="D105" s="19"/>
      <c r="E105" s="5" t="s">
        <v>44</v>
      </c>
      <c r="F105" s="19"/>
      <c r="G105" s="8" t="s">
        <v>55</v>
      </c>
      <c r="H105" s="5" t="s">
        <v>57</v>
      </c>
      <c r="I105" s="19"/>
      <c r="J105" s="7" t="n">
        <v>976</v>
      </c>
      <c r="K105" s="7" t="n">
        <v>33</v>
      </c>
      <c r="L105" s="21" t="n">
        <f aca="false">IFERROR(K105/J105*100,0)</f>
        <v>3.38114754098361</v>
      </c>
    </row>
    <row r="106" customFormat="false" ht="15" hidden="false" customHeight="true" outlineLevel="0" collapsed="false">
      <c r="A106" s="11" t="s">
        <v>216</v>
      </c>
      <c r="B106" s="12" t="s">
        <v>217</v>
      </c>
      <c r="C106" s="11" t="s">
        <v>32</v>
      </c>
      <c r="D106" s="19"/>
      <c r="E106" s="11" t="s">
        <v>24</v>
      </c>
      <c r="F106" s="19"/>
      <c r="G106" s="14" t="s">
        <v>55</v>
      </c>
      <c r="H106" s="11" t="s">
        <v>53</v>
      </c>
      <c r="I106" s="19"/>
      <c r="J106" s="13" t="n">
        <v>966</v>
      </c>
      <c r="K106" s="13" t="n">
        <v>34</v>
      </c>
      <c r="L106" s="20" t="n">
        <f aca="false">IFERROR(K106/J106*100,0)</f>
        <v>3.51966873706004</v>
      </c>
    </row>
    <row r="107" customFormat="false" ht="15" hidden="false" customHeight="true" outlineLevel="0" collapsed="false">
      <c r="A107" s="5" t="s">
        <v>218</v>
      </c>
      <c r="B107" s="6" t="s">
        <v>217</v>
      </c>
      <c r="C107" s="5" t="s">
        <v>20</v>
      </c>
      <c r="D107" s="19"/>
      <c r="E107" s="5" t="s">
        <v>36</v>
      </c>
      <c r="F107" s="19"/>
      <c r="G107" s="8" t="s">
        <v>55</v>
      </c>
      <c r="H107" s="5" t="s">
        <v>59</v>
      </c>
      <c r="I107" s="19"/>
      <c r="J107" s="7" t="n">
        <v>948</v>
      </c>
      <c r="K107" s="7" t="n">
        <v>21</v>
      </c>
      <c r="L107" s="21" t="n">
        <f aca="false">IFERROR(K107/J107*100,0)</f>
        <v>2.21518987341772</v>
      </c>
    </row>
    <row r="108" customFormat="false" ht="15" hidden="false" customHeight="true" outlineLevel="0" collapsed="false">
      <c r="A108" s="11" t="s">
        <v>219</v>
      </c>
      <c r="B108" s="12" t="s">
        <v>217</v>
      </c>
      <c r="C108" s="11" t="s">
        <v>32</v>
      </c>
      <c r="D108" s="19"/>
      <c r="E108" s="11" t="s">
        <v>44</v>
      </c>
      <c r="F108" s="19"/>
      <c r="G108" s="14" t="s">
        <v>30</v>
      </c>
      <c r="H108" s="11" t="s">
        <v>38</v>
      </c>
      <c r="I108" s="19"/>
      <c r="J108" s="13" t="n">
        <v>1101</v>
      </c>
      <c r="K108" s="13" t="n">
        <v>35</v>
      </c>
      <c r="L108" s="20" t="n">
        <f aca="false">IFERROR(K108/J108*100,0)</f>
        <v>3.17892824704814</v>
      </c>
    </row>
    <row r="109" customFormat="false" ht="15" hidden="false" customHeight="true" outlineLevel="0" collapsed="false">
      <c r="A109" s="5" t="s">
        <v>220</v>
      </c>
      <c r="B109" s="6" t="s">
        <v>221</v>
      </c>
      <c r="C109" s="5" t="s">
        <v>20</v>
      </c>
      <c r="D109" s="19"/>
      <c r="E109" s="5" t="s">
        <v>44</v>
      </c>
      <c r="F109" s="19"/>
      <c r="G109" s="8" t="s">
        <v>30</v>
      </c>
      <c r="H109" s="5" t="s">
        <v>47</v>
      </c>
      <c r="I109" s="19"/>
      <c r="J109" s="7" t="n">
        <v>946</v>
      </c>
      <c r="K109" s="7" t="n">
        <v>21</v>
      </c>
      <c r="L109" s="21" t="n">
        <f aca="false">IFERROR(K109/J109*100,0)</f>
        <v>2.21987315010571</v>
      </c>
    </row>
    <row r="110" customFormat="false" ht="15" hidden="false" customHeight="true" outlineLevel="0" collapsed="false">
      <c r="A110" s="11" t="s">
        <v>222</v>
      </c>
      <c r="B110" s="12" t="s">
        <v>221</v>
      </c>
      <c r="C110" s="11" t="s">
        <v>41</v>
      </c>
      <c r="D110" s="19"/>
      <c r="E110" s="11" t="s">
        <v>36</v>
      </c>
      <c r="F110" s="19"/>
      <c r="G110" s="14" t="s">
        <v>30</v>
      </c>
      <c r="H110" s="11" t="s">
        <v>38</v>
      </c>
      <c r="I110" s="19"/>
      <c r="J110" s="13" t="n">
        <v>1023</v>
      </c>
      <c r="K110" s="13" t="n">
        <v>15</v>
      </c>
      <c r="L110" s="20" t="n">
        <f aca="false">IFERROR(K110/J110*100,0)</f>
        <v>1.46627565982405</v>
      </c>
    </row>
    <row r="111" customFormat="false" ht="15" hidden="false" customHeight="true" outlineLevel="0" collapsed="false">
      <c r="A111" s="5" t="s">
        <v>223</v>
      </c>
      <c r="B111" s="6" t="s">
        <v>221</v>
      </c>
      <c r="C111" s="5" t="s">
        <v>32</v>
      </c>
      <c r="D111" s="19"/>
      <c r="E111" s="5" t="s">
        <v>49</v>
      </c>
      <c r="F111" s="19"/>
      <c r="G111" s="8" t="s">
        <v>55</v>
      </c>
      <c r="H111" s="5" t="s">
        <v>59</v>
      </c>
      <c r="I111" s="19"/>
      <c r="J111" s="7" t="n">
        <v>1004</v>
      </c>
      <c r="K111" s="7" t="n">
        <v>43</v>
      </c>
      <c r="L111" s="21" t="n">
        <f aca="false">IFERROR(K111/J111*100,0)</f>
        <v>4.28286852589641</v>
      </c>
    </row>
    <row r="112" customFormat="false" ht="15" hidden="false" customHeight="true" outlineLevel="0" collapsed="false">
      <c r="A112" s="11" t="s">
        <v>224</v>
      </c>
      <c r="B112" s="12" t="s">
        <v>225</v>
      </c>
      <c r="C112" s="11" t="s">
        <v>41</v>
      </c>
      <c r="D112" s="19"/>
      <c r="E112" s="11" t="s">
        <v>24</v>
      </c>
      <c r="F112" s="19"/>
      <c r="G112" s="14" t="s">
        <v>30</v>
      </c>
      <c r="H112" s="11" t="s">
        <v>47</v>
      </c>
      <c r="I112" s="19"/>
      <c r="J112" s="13" t="n">
        <v>1010</v>
      </c>
      <c r="K112" s="13" t="n">
        <v>11</v>
      </c>
      <c r="L112" s="20" t="n">
        <f aca="false">IFERROR(K112/J112*100,0)</f>
        <v>1.08910891089109</v>
      </c>
    </row>
    <row r="113" customFormat="false" ht="15" hidden="false" customHeight="true" outlineLevel="0" collapsed="false">
      <c r="A113" s="5" t="s">
        <v>226</v>
      </c>
      <c r="B113" s="6" t="s">
        <v>225</v>
      </c>
      <c r="C113" s="5" t="s">
        <v>41</v>
      </c>
      <c r="D113" s="19"/>
      <c r="E113" s="5" t="s">
        <v>44</v>
      </c>
      <c r="F113" s="19"/>
      <c r="G113" s="8" t="s">
        <v>30</v>
      </c>
      <c r="H113" s="5" t="s">
        <v>47</v>
      </c>
      <c r="I113" s="19"/>
      <c r="J113" s="7" t="n">
        <v>865</v>
      </c>
      <c r="K113" s="7" t="n">
        <v>17</v>
      </c>
      <c r="L113" s="21" t="n">
        <f aca="false">IFERROR(K113/J113*100,0)</f>
        <v>1.96531791907514</v>
      </c>
    </row>
    <row r="114" customFormat="false" ht="15" hidden="false" customHeight="true" outlineLevel="0" collapsed="false">
      <c r="A114" s="11" t="s">
        <v>227</v>
      </c>
      <c r="B114" s="12" t="s">
        <v>228</v>
      </c>
      <c r="C114" s="11" t="s">
        <v>32</v>
      </c>
      <c r="D114" s="19"/>
      <c r="E114" s="11" t="s">
        <v>49</v>
      </c>
      <c r="F114" s="19"/>
      <c r="G114" s="14" t="s">
        <v>30</v>
      </c>
      <c r="H114" s="11" t="s">
        <v>38</v>
      </c>
      <c r="I114" s="19"/>
      <c r="J114" s="13" t="n">
        <v>930</v>
      </c>
      <c r="K114" s="13" t="n">
        <v>29</v>
      </c>
      <c r="L114" s="20" t="n">
        <f aca="false">IFERROR(K114/J114*100,0)</f>
        <v>3.11827956989247</v>
      </c>
    </row>
    <row r="115" customFormat="false" ht="15" hidden="false" customHeight="true" outlineLevel="0" collapsed="false">
      <c r="A115" s="5" t="s">
        <v>229</v>
      </c>
      <c r="B115" s="6" t="s">
        <v>228</v>
      </c>
      <c r="C115" s="5" t="s">
        <v>32</v>
      </c>
      <c r="D115" s="19"/>
      <c r="E115" s="5" t="s">
        <v>49</v>
      </c>
      <c r="F115" s="19"/>
      <c r="G115" s="8" t="s">
        <v>55</v>
      </c>
      <c r="H115" s="5" t="s">
        <v>57</v>
      </c>
      <c r="I115" s="19"/>
      <c r="J115" s="7" t="n">
        <v>1047</v>
      </c>
      <c r="K115" s="7" t="n">
        <v>34</v>
      </c>
      <c r="L115" s="21" t="n">
        <f aca="false">IFERROR(K115/J115*100,0)</f>
        <v>3.24737344794651</v>
      </c>
    </row>
    <row r="116" customFormat="false" ht="15" hidden="false" customHeight="true" outlineLevel="0" collapsed="false">
      <c r="A116" s="11" t="s">
        <v>230</v>
      </c>
      <c r="B116" s="12" t="s">
        <v>231</v>
      </c>
      <c r="C116" s="11" t="s">
        <v>20</v>
      </c>
      <c r="D116" s="19"/>
      <c r="E116" s="11" t="s">
        <v>36</v>
      </c>
      <c r="F116" s="19"/>
      <c r="G116" s="14" t="s">
        <v>55</v>
      </c>
      <c r="H116" s="11" t="s">
        <v>53</v>
      </c>
      <c r="I116" s="19"/>
      <c r="J116" s="13" t="n">
        <v>906</v>
      </c>
      <c r="K116" s="13" t="n">
        <v>20</v>
      </c>
      <c r="L116" s="20" t="n">
        <f aca="false">IFERROR(K116/J116*100,0)</f>
        <v>2.2075055187638</v>
      </c>
    </row>
    <row r="117" customFormat="false" ht="15" hidden="false" customHeight="true" outlineLevel="0" collapsed="false">
      <c r="A117" s="5" t="s">
        <v>232</v>
      </c>
      <c r="B117" s="6" t="s">
        <v>231</v>
      </c>
      <c r="C117" s="5" t="s">
        <v>41</v>
      </c>
      <c r="D117" s="19"/>
      <c r="E117" s="5" t="s">
        <v>36</v>
      </c>
      <c r="F117" s="19"/>
      <c r="G117" s="8" t="s">
        <v>30</v>
      </c>
      <c r="H117" s="5" t="s">
        <v>38</v>
      </c>
      <c r="I117" s="19"/>
      <c r="J117" s="7" t="n">
        <v>1188</v>
      </c>
      <c r="K117" s="7" t="n">
        <v>21</v>
      </c>
      <c r="L117" s="21" t="n">
        <f aca="false">IFERROR(K117/J117*100,0)</f>
        <v>1.76767676767677</v>
      </c>
    </row>
    <row r="118" customFormat="false" ht="15" hidden="false" customHeight="true" outlineLevel="0" collapsed="false">
      <c r="A118" s="11" t="s">
        <v>233</v>
      </c>
      <c r="B118" s="12" t="s">
        <v>231</v>
      </c>
      <c r="C118" s="11" t="s">
        <v>32</v>
      </c>
      <c r="D118" s="19"/>
      <c r="E118" s="11" t="s">
        <v>49</v>
      </c>
      <c r="F118" s="19"/>
      <c r="G118" s="14" t="s">
        <v>30</v>
      </c>
      <c r="H118" s="11" t="s">
        <v>28</v>
      </c>
      <c r="I118" s="19"/>
      <c r="J118" s="13" t="n">
        <v>924</v>
      </c>
      <c r="K118" s="13" t="n">
        <v>32</v>
      </c>
      <c r="L118" s="20" t="n">
        <f aca="false">IFERROR(K118/J118*100,0)</f>
        <v>3.46320346320346</v>
      </c>
    </row>
    <row r="119" customFormat="false" ht="15" hidden="false" customHeight="true" outlineLevel="0" collapsed="false">
      <c r="A119" s="5" t="s">
        <v>234</v>
      </c>
      <c r="B119" s="6" t="s">
        <v>235</v>
      </c>
      <c r="C119" s="5" t="s">
        <v>32</v>
      </c>
      <c r="D119" s="19"/>
      <c r="E119" s="5" t="s">
        <v>36</v>
      </c>
      <c r="F119" s="19"/>
      <c r="G119" s="8" t="s">
        <v>30</v>
      </c>
      <c r="H119" s="5" t="s">
        <v>47</v>
      </c>
      <c r="I119" s="19"/>
      <c r="J119" s="7" t="n">
        <v>903</v>
      </c>
      <c r="K119" s="7" t="n">
        <v>23</v>
      </c>
      <c r="L119" s="21" t="n">
        <f aca="false">IFERROR(K119/J119*100,0)</f>
        <v>2.54706533776301</v>
      </c>
    </row>
    <row r="120" customFormat="false" ht="15" hidden="false" customHeight="true" outlineLevel="0" collapsed="false">
      <c r="A120" s="11" t="s">
        <v>236</v>
      </c>
      <c r="B120" s="12" t="s">
        <v>235</v>
      </c>
      <c r="C120" s="11" t="s">
        <v>20</v>
      </c>
      <c r="D120" s="19"/>
      <c r="E120" s="11" t="s">
        <v>49</v>
      </c>
      <c r="F120" s="19"/>
      <c r="G120" s="14" t="s">
        <v>30</v>
      </c>
      <c r="H120" s="11" t="s">
        <v>47</v>
      </c>
      <c r="I120" s="19"/>
      <c r="J120" s="13" t="n">
        <v>1068</v>
      </c>
      <c r="K120" s="13" t="n">
        <v>28</v>
      </c>
      <c r="L120" s="20" t="n">
        <f aca="false">IFERROR(K120/J120*100,0)</f>
        <v>2.62172284644195</v>
      </c>
    </row>
    <row r="121" customFormat="false" ht="15" hidden="false" customHeight="true" outlineLevel="0" collapsed="false">
      <c r="A121" s="5" t="s">
        <v>237</v>
      </c>
      <c r="B121" s="6" t="s">
        <v>238</v>
      </c>
      <c r="C121" s="5" t="s">
        <v>32</v>
      </c>
      <c r="D121" s="19"/>
      <c r="E121" s="5" t="s">
        <v>44</v>
      </c>
      <c r="F121" s="19"/>
      <c r="G121" s="8" t="s">
        <v>30</v>
      </c>
      <c r="H121" s="5" t="s">
        <v>38</v>
      </c>
      <c r="I121" s="19"/>
      <c r="J121" s="7" t="n">
        <v>864</v>
      </c>
      <c r="K121" s="7" t="n">
        <v>23</v>
      </c>
      <c r="L121" s="21" t="n">
        <f aca="false">IFERROR(K121/J121*100,0)</f>
        <v>2.66203703703704</v>
      </c>
    </row>
    <row r="122" customFormat="false" ht="15" hidden="false" customHeight="true" outlineLevel="0" collapsed="false">
      <c r="A122" s="11" t="s">
        <v>239</v>
      </c>
      <c r="B122" s="12" t="s">
        <v>238</v>
      </c>
      <c r="C122" s="11" t="s">
        <v>41</v>
      </c>
      <c r="D122" s="19"/>
      <c r="E122" s="11" t="s">
        <v>36</v>
      </c>
      <c r="F122" s="19"/>
      <c r="G122" s="14" t="s">
        <v>30</v>
      </c>
      <c r="H122" s="11" t="s">
        <v>28</v>
      </c>
      <c r="I122" s="19"/>
      <c r="J122" s="13" t="n">
        <v>996</v>
      </c>
      <c r="K122" s="13" t="n">
        <v>14</v>
      </c>
      <c r="L122" s="20" t="n">
        <f aca="false">IFERROR(K122/J122*100,0)</f>
        <v>1.40562248995984</v>
      </c>
    </row>
    <row r="123" customFormat="false" ht="15" hidden="false" customHeight="true" outlineLevel="0" collapsed="false">
      <c r="A123" s="5" t="s">
        <v>240</v>
      </c>
      <c r="B123" s="6" t="s">
        <v>241</v>
      </c>
      <c r="C123" s="5" t="s">
        <v>20</v>
      </c>
      <c r="D123" s="19"/>
      <c r="E123" s="5" t="s">
        <v>36</v>
      </c>
      <c r="F123" s="19"/>
      <c r="G123" s="8" t="s">
        <v>30</v>
      </c>
      <c r="H123" s="5" t="s">
        <v>47</v>
      </c>
      <c r="I123" s="19"/>
      <c r="J123" s="7" t="n">
        <v>1191</v>
      </c>
      <c r="K123" s="7" t="n">
        <v>24</v>
      </c>
      <c r="L123" s="21" t="n">
        <f aca="false">IFERROR(K123/J123*100,0)</f>
        <v>2.01511335012594</v>
      </c>
    </row>
  </sheetData>
  <mergeCells count="2">
    <mergeCell ref="A1:L1"/>
    <mergeCell ref="A2:L2"/>
  </mergeCells>
  <conditionalFormatting sqref="L4:L12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4" min="2" style="1" width="1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8" min="8" style="1" width="16"/>
    <col collapsed="false" customWidth="true" hidden="false" outlineLevel="0" max="14" min="9" style="1" width="9"/>
  </cols>
  <sheetData>
    <row r="1" customFormat="false" ht="27.75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21.75" hidden="false" customHeight="true" outlineLevel="0" collapsed="false">
      <c r="A3" s="22" t="s">
        <v>243</v>
      </c>
      <c r="B3" s="22"/>
      <c r="C3" s="22"/>
      <c r="D3" s="22"/>
      <c r="E3" s="22"/>
      <c r="F3" s="22"/>
      <c r="H3" s="23" t="s">
        <v>244</v>
      </c>
      <c r="I3" s="23"/>
      <c r="J3" s="23"/>
      <c r="K3" s="23"/>
      <c r="L3" s="23"/>
      <c r="M3" s="23"/>
      <c r="N3" s="23"/>
    </row>
    <row r="4" customFormat="false" ht="19.5" hidden="false" customHeight="true" outlineLevel="0" collapsed="false">
      <c r="A4" s="24" t="s">
        <v>245</v>
      </c>
      <c r="B4" s="25" t="s">
        <v>246</v>
      </c>
      <c r="C4" s="25" t="s">
        <v>247</v>
      </c>
      <c r="D4" s="25" t="s">
        <v>248</v>
      </c>
      <c r="E4" s="25" t="s">
        <v>249</v>
      </c>
      <c r="F4" s="25" t="s">
        <v>250</v>
      </c>
      <c r="H4" s="26" t="s">
        <v>251</v>
      </c>
      <c r="I4" s="26" t="s">
        <v>252</v>
      </c>
      <c r="J4" s="26" t="s">
        <v>253</v>
      </c>
      <c r="K4" s="26" t="s">
        <v>254</v>
      </c>
      <c r="L4" s="26" t="s">
        <v>255</v>
      </c>
      <c r="M4" s="26" t="s">
        <v>256</v>
      </c>
      <c r="N4" s="26" t="s">
        <v>257</v>
      </c>
    </row>
    <row r="5" customFormat="false" ht="16.5" hidden="false" customHeight="true" outlineLevel="0" collapsed="false">
      <c r="A5" s="11" t="s">
        <v>258</v>
      </c>
      <c r="B5" s="27" t="n">
        <v>57.4</v>
      </c>
      <c r="C5" s="27" t="n">
        <v>49</v>
      </c>
      <c r="D5" s="27" t="n">
        <v>62.3</v>
      </c>
      <c r="E5" s="27" t="n">
        <v>71.8</v>
      </c>
      <c r="F5" s="14" t="s">
        <v>259</v>
      </c>
      <c r="H5" s="28" t="s">
        <v>260</v>
      </c>
      <c r="I5" s="19"/>
      <c r="J5" s="19"/>
      <c r="K5" s="19"/>
      <c r="L5" s="29" t="n">
        <f aca="false">AVERAGE(B5:B34)</f>
        <v>57.8233333333333</v>
      </c>
      <c r="M5" s="29" t="n">
        <f aca="false">AVERAGE(C5:C34)</f>
        <v>62.3</v>
      </c>
      <c r="N5" s="29" t="n">
        <f aca="false">AVERAGE(D5:D34)</f>
        <v>65.6333333333333</v>
      </c>
    </row>
    <row r="6" customFormat="false" ht="16.5" hidden="false" customHeight="true" outlineLevel="0" collapsed="false">
      <c r="A6" s="5" t="s">
        <v>261</v>
      </c>
      <c r="B6" s="30" t="n">
        <v>58.3</v>
      </c>
      <c r="C6" s="30" t="n">
        <v>55.5</v>
      </c>
      <c r="D6" s="30" t="n">
        <v>60.3</v>
      </c>
      <c r="E6" s="30" t="n">
        <v>73.1</v>
      </c>
      <c r="F6" s="8" t="s">
        <v>259</v>
      </c>
      <c r="H6" s="31" t="s">
        <v>262</v>
      </c>
      <c r="I6" s="19"/>
      <c r="J6" s="19"/>
      <c r="K6" s="19"/>
      <c r="L6" s="29" t="n">
        <f aca="false">MEDIAN(B5:B34)</f>
        <v>57.6</v>
      </c>
      <c r="M6" s="29" t="n">
        <f aca="false">MEDIAN(C5:C34)</f>
        <v>60.9</v>
      </c>
      <c r="N6" s="29" t="n">
        <f aca="false">MEDIAN(D5:D34)</f>
        <v>65.75</v>
      </c>
    </row>
    <row r="7" customFormat="false" ht="16.5" hidden="false" customHeight="true" outlineLevel="0" collapsed="false">
      <c r="A7" s="11" t="s">
        <v>263</v>
      </c>
      <c r="B7" s="27" t="n">
        <v>54.8</v>
      </c>
      <c r="C7" s="27" t="n">
        <v>62.7</v>
      </c>
      <c r="D7" s="27" t="n">
        <v>69.9</v>
      </c>
      <c r="E7" s="27" t="n">
        <v>72.3</v>
      </c>
      <c r="F7" s="14" t="s">
        <v>259</v>
      </c>
      <c r="H7" s="28" t="s">
        <v>264</v>
      </c>
      <c r="I7" s="19"/>
      <c r="J7" s="19"/>
      <c r="K7" s="19"/>
      <c r="L7" s="29" t="n">
        <f aca="false">MIN(B5:B34)</f>
        <v>54.8</v>
      </c>
      <c r="M7" s="29" t="n">
        <f aca="false">MIN(C5:C34)</f>
        <v>22.9</v>
      </c>
      <c r="N7" s="29" t="n">
        <f aca="false">MIN(D5:D34)</f>
        <v>58.8</v>
      </c>
    </row>
    <row r="8" customFormat="false" ht="16.5" hidden="false" customHeight="true" outlineLevel="0" collapsed="false">
      <c r="A8" s="5" t="s">
        <v>265</v>
      </c>
      <c r="B8" s="30" t="n">
        <v>57.2</v>
      </c>
      <c r="C8" s="32" t="n">
        <v>100.9</v>
      </c>
      <c r="D8" s="30" t="n">
        <v>72.1</v>
      </c>
      <c r="E8" s="30" t="n">
        <v>82.7</v>
      </c>
      <c r="F8" s="33" t="s">
        <v>266</v>
      </c>
      <c r="H8" s="31" t="s">
        <v>267</v>
      </c>
      <c r="I8" s="19"/>
      <c r="J8" s="19"/>
      <c r="K8" s="19"/>
      <c r="L8" s="29" t="n">
        <f aca="false">MAX(B5:B34)</f>
        <v>64.1</v>
      </c>
      <c r="M8" s="29" t="n">
        <f aca="false">MAX(C5:C34)</f>
        <v>105.7</v>
      </c>
      <c r="N8" s="29" t="n">
        <f aca="false">MAX(D5:D34)</f>
        <v>72.4</v>
      </c>
    </row>
    <row r="9" customFormat="false" ht="16.5" hidden="false" customHeight="true" outlineLevel="0" collapsed="false">
      <c r="A9" s="11" t="s">
        <v>268</v>
      </c>
      <c r="B9" s="27" t="n">
        <v>58.9</v>
      </c>
      <c r="C9" s="27" t="n">
        <v>59.9</v>
      </c>
      <c r="D9" s="27" t="n">
        <v>65.4</v>
      </c>
      <c r="E9" s="27" t="n">
        <v>74.5</v>
      </c>
      <c r="F9" s="14" t="s">
        <v>259</v>
      </c>
      <c r="H9" s="28" t="s">
        <v>269</v>
      </c>
      <c r="I9" s="19"/>
      <c r="J9" s="19"/>
      <c r="K9" s="19"/>
      <c r="L9" s="29" t="n">
        <f aca="false">STDEV(B5:B34)</f>
        <v>1.83766781233871</v>
      </c>
      <c r="M9" s="29" t="n">
        <f aca="false">STDEV(C5:C34)</f>
        <v>18.9847488699528</v>
      </c>
      <c r="N9" s="29" t="n">
        <f aca="false">STDEV(D5:D34)</f>
        <v>3.38773989692175</v>
      </c>
    </row>
    <row r="10" customFormat="false" ht="16.5" hidden="false" customHeight="true" outlineLevel="0" collapsed="false">
      <c r="A10" s="5" t="s">
        <v>270</v>
      </c>
      <c r="B10" s="30" t="n">
        <v>58.4</v>
      </c>
      <c r="C10" s="30" t="n">
        <v>70.3</v>
      </c>
      <c r="D10" s="30" t="n">
        <v>65</v>
      </c>
      <c r="E10" s="30" t="n">
        <v>71.9</v>
      </c>
      <c r="F10" s="8" t="s">
        <v>259</v>
      </c>
      <c r="H10" s="31" t="s">
        <v>271</v>
      </c>
      <c r="I10" s="19"/>
      <c r="J10" s="19"/>
      <c r="K10" s="19"/>
      <c r="L10" s="29" t="n">
        <f aca="false">VAR(B5:B34)</f>
        <v>3.37702298850574</v>
      </c>
      <c r="M10" s="29" t="n">
        <f aca="false">VAR(C5:C34)</f>
        <v>360.420689655173</v>
      </c>
      <c r="N10" s="29" t="n">
        <f aca="false">VAR(D5:D34)</f>
        <v>11.4767816091954</v>
      </c>
    </row>
    <row r="11" customFormat="false" ht="16.5" hidden="false" customHeight="true" outlineLevel="0" collapsed="false">
      <c r="A11" s="11" t="s">
        <v>272</v>
      </c>
      <c r="B11" s="27" t="n">
        <v>58.6</v>
      </c>
      <c r="C11" s="27" t="n">
        <v>59.4</v>
      </c>
      <c r="D11" s="27" t="n">
        <v>65.2</v>
      </c>
      <c r="E11" s="27" t="n">
        <v>72.2</v>
      </c>
      <c r="F11" s="14" t="s">
        <v>259</v>
      </c>
      <c r="H11" s="28" t="s">
        <v>273</v>
      </c>
      <c r="I11" s="19"/>
      <c r="J11" s="19"/>
      <c r="K11" s="19"/>
      <c r="L11" s="29" t="n">
        <f aca="false">COUNTIF(B5:B34,"&lt;"&amp;(AVERAGE(B5:B34)-2*STDEV(B5:B34)))+COUNTIF(B5:B34,"&gt;"&amp;(AVERAGE(B5:B34)+2*STDEV(B5:B34)))</f>
        <v>1</v>
      </c>
      <c r="M11" s="29" t="n">
        <f aca="false">COUNTIF(C5:C34,"&lt;"&amp;(AVERAGE(C5:C34)-2*STDEV(C5:C34)))+COUNTIF(C5:C34,"&gt;"&amp;(AVERAGE(C5:C34)+2*STDEV(C5:C34)))</f>
        <v>3</v>
      </c>
      <c r="N11" s="29" t="n">
        <f aca="false">COUNTIF(D5:D34,"&lt;"&amp;(AVERAGE(D5:D34)-2*STDEV(D5:D34)))+COUNTIF(D5:D34,"&gt;"&amp;(AVERAGE(D5:D34)+2*STDEV(D5:D34)))</f>
        <v>1</v>
      </c>
    </row>
    <row r="12" customFormat="false" ht="15" hidden="false" customHeight="true" outlineLevel="0" collapsed="false">
      <c r="A12" s="5" t="s">
        <v>274</v>
      </c>
      <c r="B12" s="30" t="n">
        <v>59.6</v>
      </c>
      <c r="C12" s="30" t="n">
        <v>53.4</v>
      </c>
      <c r="D12" s="30" t="n">
        <v>61.4</v>
      </c>
      <c r="E12" s="30" t="n">
        <v>69.6</v>
      </c>
      <c r="F12" s="8" t="s">
        <v>259</v>
      </c>
    </row>
    <row r="13" customFormat="false" ht="15" hidden="false" customHeight="true" outlineLevel="0" collapsed="false">
      <c r="A13" s="11" t="s">
        <v>275</v>
      </c>
      <c r="B13" s="27" t="n">
        <v>60.1</v>
      </c>
      <c r="C13" s="27" t="n">
        <v>65.9</v>
      </c>
      <c r="D13" s="27" t="n">
        <v>62.7</v>
      </c>
      <c r="E13" s="27" t="n">
        <v>71.9</v>
      </c>
      <c r="F13" s="14" t="s">
        <v>259</v>
      </c>
    </row>
    <row r="14" customFormat="false" ht="15" hidden="false" customHeight="true" outlineLevel="0" collapsed="false">
      <c r="A14" s="5" t="s">
        <v>276</v>
      </c>
      <c r="B14" s="30" t="n">
        <v>57</v>
      </c>
      <c r="C14" s="30" t="n">
        <v>58.1</v>
      </c>
      <c r="D14" s="30" t="n">
        <v>67.7</v>
      </c>
      <c r="E14" s="30" t="n">
        <v>70.3</v>
      </c>
      <c r="F14" s="8" t="s">
        <v>259</v>
      </c>
    </row>
    <row r="15" customFormat="false" ht="15" hidden="false" customHeight="true" outlineLevel="0" collapsed="false">
      <c r="A15" s="11" t="s">
        <v>277</v>
      </c>
      <c r="B15" s="27" t="n">
        <v>57.3</v>
      </c>
      <c r="C15" s="27" t="n">
        <v>63.3</v>
      </c>
      <c r="D15" s="27" t="n">
        <v>62.9</v>
      </c>
      <c r="E15" s="27" t="n">
        <v>73</v>
      </c>
      <c r="F15" s="14" t="s">
        <v>259</v>
      </c>
    </row>
    <row r="16" customFormat="false" ht="15" hidden="false" customHeight="true" outlineLevel="0" collapsed="false">
      <c r="A16" s="5" t="s">
        <v>278</v>
      </c>
      <c r="B16" s="30" t="n">
        <v>56</v>
      </c>
      <c r="C16" s="30" t="n">
        <v>63.4</v>
      </c>
      <c r="D16" s="30" t="n">
        <v>67.8</v>
      </c>
      <c r="E16" s="30" t="n">
        <v>68.5</v>
      </c>
      <c r="F16" s="8" t="s">
        <v>259</v>
      </c>
    </row>
    <row r="17" customFormat="false" ht="15" hidden="false" customHeight="true" outlineLevel="0" collapsed="false">
      <c r="A17" s="11" t="s">
        <v>279</v>
      </c>
      <c r="B17" s="27" t="n">
        <v>58.4</v>
      </c>
      <c r="C17" s="27" t="n">
        <v>57.1</v>
      </c>
      <c r="D17" s="27" t="n">
        <v>66.9</v>
      </c>
      <c r="E17" s="27" t="n">
        <v>74.6</v>
      </c>
      <c r="F17" s="14" t="s">
        <v>259</v>
      </c>
    </row>
    <row r="18" customFormat="false" ht="15" hidden="false" customHeight="true" outlineLevel="0" collapsed="false">
      <c r="A18" s="5" t="s">
        <v>280</v>
      </c>
      <c r="B18" s="30" t="n">
        <v>57.7</v>
      </c>
      <c r="C18" s="30" t="n">
        <v>49.6</v>
      </c>
      <c r="D18" s="30" t="n">
        <v>70.1</v>
      </c>
      <c r="E18" s="30" t="n">
        <v>72.5</v>
      </c>
      <c r="F18" s="8" t="s">
        <v>259</v>
      </c>
    </row>
    <row r="19" customFormat="false" ht="15" hidden="false" customHeight="true" outlineLevel="0" collapsed="false">
      <c r="A19" s="11" t="s">
        <v>281</v>
      </c>
      <c r="B19" s="27" t="n">
        <v>58.6</v>
      </c>
      <c r="C19" s="34" t="n">
        <v>22.9</v>
      </c>
      <c r="D19" s="27" t="n">
        <v>63.5</v>
      </c>
      <c r="E19" s="27" t="n">
        <v>80.4</v>
      </c>
      <c r="F19" s="35" t="s">
        <v>266</v>
      </c>
    </row>
    <row r="20" customFormat="false" ht="15" hidden="false" customHeight="true" outlineLevel="0" collapsed="false">
      <c r="A20" s="5" t="s">
        <v>282</v>
      </c>
      <c r="B20" s="30" t="n">
        <v>64.1</v>
      </c>
      <c r="C20" s="32" t="n">
        <v>33.5</v>
      </c>
      <c r="D20" s="30" t="n">
        <v>58.8</v>
      </c>
      <c r="E20" s="30" t="n">
        <v>78.1</v>
      </c>
      <c r="F20" s="33" t="s">
        <v>266</v>
      </c>
    </row>
    <row r="21" customFormat="false" ht="15" hidden="false" customHeight="true" outlineLevel="0" collapsed="false">
      <c r="A21" s="11" t="s">
        <v>283</v>
      </c>
      <c r="B21" s="27" t="n">
        <v>56.6</v>
      </c>
      <c r="C21" s="34" t="n">
        <v>105.7</v>
      </c>
      <c r="D21" s="27" t="n">
        <v>66.1</v>
      </c>
      <c r="E21" s="27" t="n">
        <v>80.4</v>
      </c>
      <c r="F21" s="35" t="s">
        <v>266</v>
      </c>
    </row>
    <row r="22" customFormat="false" ht="15" hidden="false" customHeight="true" outlineLevel="0" collapsed="false">
      <c r="A22" s="5" t="s">
        <v>284</v>
      </c>
      <c r="B22" s="30" t="n">
        <v>56.5</v>
      </c>
      <c r="C22" s="30" t="n">
        <v>62.6</v>
      </c>
      <c r="D22" s="30" t="n">
        <v>66.8</v>
      </c>
      <c r="E22" s="30" t="n">
        <v>71.3</v>
      </c>
      <c r="F22" s="8" t="s">
        <v>259</v>
      </c>
    </row>
    <row r="23" customFormat="false" ht="15" hidden="false" customHeight="true" outlineLevel="0" collapsed="false">
      <c r="A23" s="11" t="s">
        <v>285</v>
      </c>
      <c r="B23" s="27" t="n">
        <v>56.5</v>
      </c>
      <c r="C23" s="27" t="n">
        <v>52.7</v>
      </c>
      <c r="D23" s="27" t="n">
        <v>72.4</v>
      </c>
      <c r="E23" s="27" t="n">
        <v>74.4</v>
      </c>
      <c r="F23" s="14" t="s">
        <v>259</v>
      </c>
    </row>
    <row r="24" customFormat="false" ht="15" hidden="false" customHeight="true" outlineLevel="0" collapsed="false">
      <c r="A24" s="5" t="s">
        <v>286</v>
      </c>
      <c r="B24" s="30" t="n">
        <v>57</v>
      </c>
      <c r="C24" s="30" t="n">
        <v>62.9</v>
      </c>
      <c r="D24" s="30" t="n">
        <v>67.9</v>
      </c>
      <c r="E24" s="30" t="n">
        <v>73.1</v>
      </c>
      <c r="F24" s="8" t="s">
        <v>259</v>
      </c>
    </row>
    <row r="25" customFormat="false" ht="15" hidden="false" customHeight="true" outlineLevel="0" collapsed="false">
      <c r="A25" s="11" t="s">
        <v>287</v>
      </c>
      <c r="B25" s="27" t="n">
        <v>60.3</v>
      </c>
      <c r="C25" s="27" t="n">
        <v>70.9</v>
      </c>
      <c r="D25" s="27" t="n">
        <v>66.9</v>
      </c>
      <c r="E25" s="27" t="n">
        <v>73.7</v>
      </c>
      <c r="F25" s="14" t="s">
        <v>259</v>
      </c>
    </row>
    <row r="26" customFormat="false" ht="15" hidden="false" customHeight="true" outlineLevel="0" collapsed="false">
      <c r="A26" s="5" t="s">
        <v>288</v>
      </c>
      <c r="B26" s="30" t="n">
        <v>55.4</v>
      </c>
      <c r="C26" s="30" t="n">
        <v>64.9</v>
      </c>
      <c r="D26" s="30" t="n">
        <v>65.4</v>
      </c>
      <c r="E26" s="30" t="n">
        <v>69.3</v>
      </c>
      <c r="F26" s="8" t="s">
        <v>259</v>
      </c>
    </row>
    <row r="27" customFormat="false" ht="15" hidden="false" customHeight="true" outlineLevel="0" collapsed="false">
      <c r="A27" s="11" t="s">
        <v>289</v>
      </c>
      <c r="B27" s="27" t="n">
        <v>57.3</v>
      </c>
      <c r="C27" s="27" t="n">
        <v>65.1</v>
      </c>
      <c r="D27" s="27" t="n">
        <v>68</v>
      </c>
      <c r="E27" s="27" t="n">
        <v>73.7</v>
      </c>
      <c r="F27" s="14" t="s">
        <v>259</v>
      </c>
    </row>
    <row r="28" customFormat="false" ht="15" hidden="false" customHeight="true" outlineLevel="0" collapsed="false">
      <c r="A28" s="5" t="s">
        <v>290</v>
      </c>
      <c r="B28" s="30" t="n">
        <v>58.7</v>
      </c>
      <c r="C28" s="30" t="n">
        <v>61.9</v>
      </c>
      <c r="D28" s="30" t="n">
        <v>66.5</v>
      </c>
      <c r="E28" s="30" t="n">
        <v>68.4</v>
      </c>
      <c r="F28" s="8" t="s">
        <v>259</v>
      </c>
    </row>
    <row r="29" customFormat="false" ht="15" hidden="false" customHeight="true" outlineLevel="0" collapsed="false">
      <c r="A29" s="11" t="s">
        <v>291</v>
      </c>
      <c r="B29" s="27" t="n">
        <v>58.2</v>
      </c>
      <c r="C29" s="27" t="n">
        <v>59</v>
      </c>
      <c r="D29" s="27" t="n">
        <v>69</v>
      </c>
      <c r="E29" s="27" t="n">
        <v>70.1</v>
      </c>
      <c r="F29" s="14" t="s">
        <v>259</v>
      </c>
    </row>
    <row r="30" customFormat="false" ht="15" hidden="false" customHeight="true" outlineLevel="0" collapsed="false">
      <c r="A30" s="5" t="s">
        <v>292</v>
      </c>
      <c r="B30" s="30" t="n">
        <v>57.5</v>
      </c>
      <c r="C30" s="30" t="n">
        <v>58.2</v>
      </c>
      <c r="D30" s="30" t="n">
        <v>61.5</v>
      </c>
      <c r="E30" s="30" t="n">
        <v>69.3</v>
      </c>
      <c r="F30" s="8" t="s">
        <v>259</v>
      </c>
    </row>
    <row r="31" customFormat="false" ht="15" hidden="false" customHeight="true" outlineLevel="0" collapsed="false">
      <c r="A31" s="11" t="s">
        <v>293</v>
      </c>
      <c r="B31" s="27" t="n">
        <v>56.1</v>
      </c>
      <c r="C31" s="34" t="n">
        <v>96.5</v>
      </c>
      <c r="D31" s="27" t="n">
        <v>63.9</v>
      </c>
      <c r="E31" s="27" t="n">
        <v>77.5</v>
      </c>
      <c r="F31" s="35" t="s">
        <v>266</v>
      </c>
    </row>
    <row r="32" customFormat="false" ht="15" hidden="false" customHeight="true" outlineLevel="0" collapsed="false">
      <c r="A32" s="5" t="s">
        <v>294</v>
      </c>
      <c r="B32" s="30" t="n">
        <v>58.3</v>
      </c>
      <c r="C32" s="32" t="n">
        <v>98.9</v>
      </c>
      <c r="D32" s="30" t="n">
        <v>67.1</v>
      </c>
      <c r="E32" s="30" t="n">
        <v>79.3</v>
      </c>
      <c r="F32" s="33" t="s">
        <v>266</v>
      </c>
    </row>
    <row r="33" customFormat="false" ht="15" hidden="false" customHeight="true" outlineLevel="0" collapsed="false">
      <c r="A33" s="11" t="s">
        <v>295</v>
      </c>
      <c r="B33" s="27" t="n">
        <v>54.8</v>
      </c>
      <c r="C33" s="34" t="n">
        <v>25.3</v>
      </c>
      <c r="D33" s="27" t="n">
        <v>64.5</v>
      </c>
      <c r="E33" s="27" t="n">
        <v>78.3</v>
      </c>
      <c r="F33" s="35" t="s">
        <v>266</v>
      </c>
    </row>
    <row r="34" customFormat="false" ht="15" hidden="false" customHeight="true" outlineLevel="0" collapsed="false">
      <c r="A34" s="5" t="s">
        <v>296</v>
      </c>
      <c r="B34" s="30" t="n">
        <v>59.1</v>
      </c>
      <c r="C34" s="30" t="n">
        <v>59.5</v>
      </c>
      <c r="D34" s="30" t="n">
        <v>61</v>
      </c>
      <c r="E34" s="30" t="n">
        <v>73.4</v>
      </c>
      <c r="F34" s="8" t="s">
        <v>259</v>
      </c>
    </row>
    <row r="36" customFormat="false" ht="21.75" hidden="false" customHeight="true" outlineLevel="0" collapsed="false">
      <c r="A36" s="36" t="s">
        <v>297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customFormat="false" ht="19.5" hidden="false" customHeight="true" outlineLevel="0" collapsed="false">
      <c r="A37" s="37" t="s">
        <v>298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customFormat="false" ht="19.5" hidden="false" customHeight="true" outlineLevel="0" collapsed="false">
      <c r="A38" s="38" t="s">
        <v>299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customFormat="false" ht="19.5" hidden="false" customHeight="true" outlineLevel="0" collapsed="false">
      <c r="A39" s="37" t="s">
        <v>300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customFormat="false" ht="19.5" hidden="false" customHeight="true" outlineLevel="0" collapsed="false">
      <c r="A40" s="38" t="s">
        <v>301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customFormat="false" ht="19.5" hidden="false" customHeight="true" outlineLevel="0" collapsed="false">
      <c r="A41" s="39" t="s">
        <v>302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</row>
  </sheetData>
  <mergeCells count="9">
    <mergeCell ref="A1:N1"/>
    <mergeCell ref="A3:F3"/>
    <mergeCell ref="H3:N3"/>
    <mergeCell ref="A36:N36"/>
    <mergeCell ref="A37:N37"/>
    <mergeCell ref="A38:N38"/>
    <mergeCell ref="A39:N39"/>
    <mergeCell ref="A40:N40"/>
    <mergeCell ref="A41:N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0"/>
  </cols>
  <sheetData>
    <row r="1" customFormat="false" ht="30" hidden="false" customHeight="true" outlineLevel="0" collapsed="false">
      <c r="B1" s="40" t="s">
        <v>303</v>
      </c>
      <c r="C1" s="40"/>
      <c r="D1" s="40"/>
      <c r="E1" s="40"/>
      <c r="F1" s="40"/>
      <c r="G1" s="40"/>
      <c r="H1" s="40"/>
      <c r="I1" s="40"/>
    </row>
    <row r="2" customFormat="false" ht="15.75" hidden="false" customHeight="true" outlineLevel="0" collapsed="false">
      <c r="B2" s="41" t="s">
        <v>304</v>
      </c>
      <c r="C2" s="41"/>
      <c r="D2" s="41"/>
      <c r="E2" s="41"/>
      <c r="F2" s="41"/>
      <c r="G2" s="41"/>
      <c r="H2" s="41"/>
      <c r="I2" s="41"/>
    </row>
    <row r="3" customFormat="false" ht="7.5" hidden="false" customHeight="true" outlineLevel="0" collapsed="false"/>
    <row r="4" customFormat="false" ht="21.75" hidden="false" customHeight="true" outlineLevel="0" collapsed="false">
      <c r="B4" s="42" t="s">
        <v>305</v>
      </c>
      <c r="C4" s="42"/>
      <c r="D4" s="42"/>
      <c r="E4" s="42"/>
      <c r="F4" s="42"/>
      <c r="G4" s="42"/>
      <c r="H4" s="42"/>
      <c r="I4" s="42"/>
    </row>
    <row r="5" customFormat="false" ht="19.5" hidden="false" customHeight="true" outlineLevel="0" collapsed="false">
      <c r="B5" s="43" t="s">
        <v>306</v>
      </c>
      <c r="C5" s="43"/>
      <c r="D5" s="43"/>
      <c r="E5" s="43"/>
      <c r="F5" s="43"/>
      <c r="G5" s="43"/>
      <c r="H5" s="43"/>
      <c r="I5" s="43"/>
    </row>
    <row r="6" customFormat="false" ht="19.5" hidden="false" customHeight="true" outlineLevel="0" collapsed="false">
      <c r="B6" s="43" t="s">
        <v>307</v>
      </c>
      <c r="C6" s="43"/>
      <c r="D6" s="43"/>
      <c r="E6" s="43"/>
      <c r="F6" s="43"/>
      <c r="G6" s="43"/>
      <c r="H6" s="43"/>
      <c r="I6" s="43"/>
    </row>
    <row r="7" customFormat="false" ht="19.5" hidden="false" customHeight="true" outlineLevel="0" collapsed="false">
      <c r="B7" s="43" t="s">
        <v>308</v>
      </c>
      <c r="C7" s="43"/>
      <c r="D7" s="43"/>
      <c r="E7" s="43"/>
      <c r="F7" s="43"/>
      <c r="G7" s="43"/>
      <c r="H7" s="43"/>
      <c r="I7" s="43"/>
    </row>
    <row r="8" customFormat="false" ht="19.5" hidden="false" customHeight="true" outlineLevel="0" collapsed="false">
      <c r="B8" s="44" t="s">
        <v>309</v>
      </c>
      <c r="C8" s="44"/>
      <c r="D8" s="44"/>
      <c r="E8" s="44"/>
      <c r="F8" s="44"/>
      <c r="G8" s="44"/>
      <c r="H8" s="44"/>
      <c r="I8" s="44"/>
    </row>
    <row r="9" customFormat="false" ht="7.5" hidden="false" customHeight="true" outlineLevel="0" collapsed="false"/>
    <row r="10" customFormat="false" ht="21.75" hidden="false" customHeight="true" outlineLevel="0" collapsed="false">
      <c r="B10" s="42" t="s">
        <v>310</v>
      </c>
      <c r="C10" s="42"/>
      <c r="D10" s="42"/>
      <c r="E10" s="42"/>
      <c r="F10" s="42"/>
      <c r="G10" s="42"/>
      <c r="H10" s="42"/>
      <c r="I10" s="42"/>
    </row>
    <row r="11" customFormat="false" ht="19.5" hidden="false" customHeight="true" outlineLevel="0" collapsed="false">
      <c r="B11" s="43" t="s">
        <v>311</v>
      </c>
      <c r="C11" s="43"/>
      <c r="D11" s="43"/>
      <c r="E11" s="43"/>
      <c r="F11" s="43"/>
      <c r="G11" s="43"/>
      <c r="H11" s="43"/>
      <c r="I11" s="43"/>
    </row>
    <row r="12" customFormat="false" ht="19.5" hidden="false" customHeight="true" outlineLevel="0" collapsed="false">
      <c r="B12" s="43" t="s">
        <v>312</v>
      </c>
      <c r="C12" s="43"/>
      <c r="D12" s="43"/>
      <c r="E12" s="43"/>
      <c r="F12" s="43"/>
      <c r="G12" s="43"/>
      <c r="H12" s="43"/>
      <c r="I12" s="43"/>
    </row>
    <row r="13" customFormat="false" ht="19.5" hidden="false" customHeight="true" outlineLevel="0" collapsed="false">
      <c r="B13" s="43" t="s">
        <v>313</v>
      </c>
      <c r="C13" s="43"/>
      <c r="D13" s="43"/>
      <c r="E13" s="43"/>
      <c r="F13" s="43"/>
      <c r="G13" s="43"/>
      <c r="H13" s="43"/>
      <c r="I13" s="43"/>
    </row>
    <row r="14" customFormat="false" ht="19.5" hidden="false" customHeight="true" outlineLevel="0" collapsed="false">
      <c r="B14" s="43" t="s">
        <v>314</v>
      </c>
      <c r="C14" s="43"/>
      <c r="D14" s="43"/>
      <c r="E14" s="43"/>
      <c r="F14" s="43"/>
      <c r="G14" s="43"/>
      <c r="H14" s="43"/>
      <c r="I14" s="43"/>
    </row>
    <row r="15" customFormat="false" ht="19.5" hidden="false" customHeight="true" outlineLevel="0" collapsed="false">
      <c r="B15" s="43" t="s">
        <v>315</v>
      </c>
      <c r="C15" s="43"/>
      <c r="D15" s="43"/>
      <c r="E15" s="43"/>
      <c r="F15" s="43"/>
      <c r="G15" s="43"/>
      <c r="H15" s="43"/>
      <c r="I15" s="43"/>
    </row>
    <row r="16" customFormat="false" ht="19.5" hidden="false" customHeight="true" outlineLevel="0" collapsed="false">
      <c r="B16" s="45" t="s">
        <v>316</v>
      </c>
      <c r="C16" s="45"/>
      <c r="D16" s="45"/>
      <c r="E16" s="45"/>
      <c r="F16" s="45"/>
      <c r="G16" s="45"/>
      <c r="H16" s="45"/>
      <c r="I16" s="45"/>
    </row>
    <row r="17" customFormat="false" ht="7.5" hidden="false" customHeight="true" outlineLevel="0" collapsed="false"/>
    <row r="18" customFormat="false" ht="21.75" hidden="false" customHeight="true" outlineLevel="0" collapsed="false">
      <c r="B18" s="42" t="s">
        <v>317</v>
      </c>
      <c r="C18" s="42"/>
      <c r="D18" s="42"/>
      <c r="E18" s="42"/>
      <c r="F18" s="42"/>
      <c r="G18" s="42"/>
      <c r="H18" s="42"/>
      <c r="I18" s="42"/>
    </row>
    <row r="19" customFormat="false" ht="19.5" hidden="false" customHeight="true" outlineLevel="0" collapsed="false">
      <c r="B19" s="43" t="s">
        <v>318</v>
      </c>
      <c r="C19" s="43"/>
      <c r="D19" s="43"/>
      <c r="E19" s="43"/>
      <c r="F19" s="43"/>
      <c r="G19" s="43"/>
      <c r="H19" s="43"/>
      <c r="I19" s="43"/>
    </row>
    <row r="20" customFormat="false" ht="19.5" hidden="false" customHeight="true" outlineLevel="0" collapsed="false">
      <c r="B20" s="43" t="s">
        <v>319</v>
      </c>
      <c r="C20" s="43"/>
      <c r="D20" s="43"/>
      <c r="E20" s="43"/>
      <c r="F20" s="43"/>
      <c r="G20" s="43"/>
      <c r="H20" s="43"/>
      <c r="I20" s="43"/>
    </row>
    <row r="21" customFormat="false" ht="19.5" hidden="false" customHeight="true" outlineLevel="0" collapsed="false">
      <c r="B21" s="43" t="s">
        <v>320</v>
      </c>
      <c r="C21" s="43"/>
      <c r="D21" s="43"/>
      <c r="E21" s="43"/>
      <c r="F21" s="43"/>
      <c r="G21" s="43"/>
      <c r="H21" s="43"/>
      <c r="I21" s="43"/>
    </row>
    <row r="22" customFormat="false" ht="19.5" hidden="false" customHeight="true" outlineLevel="0" collapsed="false">
      <c r="B22" s="43" t="s">
        <v>321</v>
      </c>
      <c r="C22" s="43"/>
      <c r="D22" s="43"/>
      <c r="E22" s="43"/>
      <c r="F22" s="43"/>
      <c r="G22" s="43"/>
      <c r="H22" s="43"/>
      <c r="I22" s="43"/>
    </row>
    <row r="23" customFormat="false" ht="19.5" hidden="false" customHeight="true" outlineLevel="0" collapsed="false">
      <c r="B23" s="44" t="s">
        <v>322</v>
      </c>
      <c r="C23" s="44"/>
      <c r="D23" s="44"/>
      <c r="E23" s="44"/>
      <c r="F23" s="44"/>
      <c r="G23" s="44"/>
      <c r="H23" s="44"/>
      <c r="I23" s="44"/>
    </row>
    <row r="24" customFormat="false" ht="7.5" hidden="false" customHeight="true" outlineLevel="0" collapsed="false"/>
    <row r="25" customFormat="false" ht="21.75" hidden="false" customHeight="true" outlineLevel="0" collapsed="false">
      <c r="B25" s="42" t="s">
        <v>323</v>
      </c>
      <c r="C25" s="42"/>
      <c r="D25" s="42"/>
      <c r="E25" s="42"/>
      <c r="F25" s="42"/>
      <c r="G25" s="42"/>
      <c r="H25" s="42"/>
      <c r="I25" s="42"/>
    </row>
    <row r="26" customFormat="false" ht="19.5" hidden="false" customHeight="true" outlineLevel="0" collapsed="false">
      <c r="B26" s="43" t="s">
        <v>324</v>
      </c>
      <c r="C26" s="43"/>
      <c r="D26" s="43"/>
      <c r="E26" s="43"/>
      <c r="F26" s="43"/>
      <c r="G26" s="43"/>
      <c r="H26" s="43"/>
      <c r="I26" s="43"/>
    </row>
    <row r="27" customFormat="false" ht="19.5" hidden="false" customHeight="true" outlineLevel="0" collapsed="false">
      <c r="B27" s="46" t="s">
        <v>325</v>
      </c>
      <c r="C27" s="46"/>
      <c r="D27" s="46"/>
      <c r="E27" s="46"/>
      <c r="F27" s="46"/>
      <c r="G27" s="46"/>
      <c r="H27" s="46"/>
      <c r="I27" s="46"/>
    </row>
    <row r="28" customFormat="false" ht="19.5" hidden="false" customHeight="true" outlineLevel="0" collapsed="false">
      <c r="B28" s="43" t="s">
        <v>326</v>
      </c>
      <c r="C28" s="43"/>
      <c r="D28" s="43"/>
      <c r="E28" s="43"/>
      <c r="F28" s="43"/>
      <c r="G28" s="43"/>
      <c r="H28" s="43"/>
      <c r="I28" s="43"/>
    </row>
    <row r="29" customFormat="false" ht="19.5" hidden="false" customHeight="true" outlineLevel="0" collapsed="false">
      <c r="B29" s="43" t="s">
        <v>327</v>
      </c>
      <c r="C29" s="43"/>
      <c r="D29" s="43"/>
      <c r="E29" s="43"/>
      <c r="F29" s="43"/>
      <c r="G29" s="43"/>
      <c r="H29" s="43"/>
      <c r="I29" s="43"/>
    </row>
    <row r="30" customFormat="false" ht="19.5" hidden="false" customHeight="true" outlineLevel="0" collapsed="false">
      <c r="B30" s="44" t="s">
        <v>328</v>
      </c>
      <c r="C30" s="44"/>
      <c r="D30" s="44"/>
      <c r="E30" s="44"/>
      <c r="F30" s="44"/>
      <c r="G30" s="44"/>
      <c r="H30" s="44"/>
      <c r="I30" s="44"/>
    </row>
    <row r="31" customFormat="false" ht="7.5" hidden="false" customHeight="true" outlineLevel="0" collapsed="false"/>
    <row r="32" customFormat="false" ht="21.75" hidden="false" customHeight="true" outlineLevel="0" collapsed="false">
      <c r="B32" s="42" t="s">
        <v>329</v>
      </c>
      <c r="C32" s="42"/>
      <c r="D32" s="42"/>
      <c r="E32" s="42"/>
      <c r="F32" s="42"/>
      <c r="G32" s="42"/>
      <c r="H32" s="42"/>
      <c r="I32" s="42"/>
    </row>
    <row r="33" customFormat="false" ht="19.5" hidden="false" customHeight="true" outlineLevel="0" collapsed="false">
      <c r="B33" s="43" t="s">
        <v>330</v>
      </c>
      <c r="C33" s="43"/>
      <c r="D33" s="43"/>
      <c r="E33" s="43"/>
      <c r="F33" s="43"/>
      <c r="G33" s="43"/>
      <c r="H33" s="43"/>
      <c r="I33" s="43"/>
    </row>
    <row r="34" customFormat="false" ht="19.5" hidden="false" customHeight="true" outlineLevel="0" collapsed="false">
      <c r="B34" s="43" t="s">
        <v>331</v>
      </c>
      <c r="C34" s="43"/>
      <c r="D34" s="43"/>
      <c r="E34" s="43"/>
      <c r="F34" s="43"/>
      <c r="G34" s="43"/>
      <c r="H34" s="43"/>
      <c r="I34" s="43"/>
    </row>
    <row r="35" customFormat="false" ht="19.5" hidden="false" customHeight="true" outlineLevel="0" collapsed="false">
      <c r="B35" s="43" t="s">
        <v>332</v>
      </c>
      <c r="C35" s="43"/>
      <c r="D35" s="43"/>
      <c r="E35" s="43"/>
      <c r="F35" s="43"/>
      <c r="G35" s="43"/>
      <c r="H35" s="43"/>
      <c r="I35" s="43"/>
    </row>
    <row r="36" customFormat="false" ht="19.5" hidden="false" customHeight="true" outlineLevel="0" collapsed="false">
      <c r="B36" s="43" t="s">
        <v>333</v>
      </c>
      <c r="C36" s="43"/>
      <c r="D36" s="43"/>
      <c r="E36" s="43"/>
      <c r="F36" s="43"/>
      <c r="G36" s="43"/>
      <c r="H36" s="43"/>
      <c r="I36" s="43"/>
    </row>
    <row r="37" customFormat="false" ht="19.5" hidden="false" customHeight="true" outlineLevel="0" collapsed="false">
      <c r="B37" s="44" t="s">
        <v>334</v>
      </c>
      <c r="C37" s="44"/>
      <c r="D37" s="44"/>
      <c r="E37" s="44"/>
      <c r="F37" s="44"/>
      <c r="G37" s="44"/>
      <c r="H37" s="44"/>
      <c r="I37" s="44"/>
    </row>
  </sheetData>
  <mergeCells count="32">
    <mergeCell ref="B1:I1"/>
    <mergeCell ref="B2:I2"/>
    <mergeCell ref="B4:I4"/>
    <mergeCell ref="B5:I5"/>
    <mergeCell ref="B6:I6"/>
    <mergeCell ref="B7:I7"/>
    <mergeCell ref="B8:I8"/>
    <mergeCell ref="B10:I10"/>
    <mergeCell ref="B11:I11"/>
    <mergeCell ref="B12:I12"/>
    <mergeCell ref="B13:I13"/>
    <mergeCell ref="B14:I14"/>
    <mergeCell ref="B15:I15"/>
    <mergeCell ref="B16:I16"/>
    <mergeCell ref="B18:I18"/>
    <mergeCell ref="B19:I19"/>
    <mergeCell ref="B20:I20"/>
    <mergeCell ref="B21:I21"/>
    <mergeCell ref="B22:I22"/>
    <mergeCell ref="B23:I23"/>
    <mergeCell ref="B25:I25"/>
    <mergeCell ref="B26:I26"/>
    <mergeCell ref="B27:I27"/>
    <mergeCell ref="B28:I28"/>
    <mergeCell ref="B29:I29"/>
    <mergeCell ref="B30:I30"/>
    <mergeCell ref="B32:I32"/>
    <mergeCell ref="B33:I33"/>
    <mergeCell ref="B34:I34"/>
    <mergeCell ref="B35:I35"/>
    <mergeCell ref="B36:I36"/>
    <mergeCell ref="B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2026-04-05T14:06:18Z</dcterms:created>
  <dc:creator>openpyxl</dc:creator>
  <dc:description/>
  <dc:language>en-US</dc:language>
  <cp:lastModifiedBy/>
  <dcterms:modified xsi:type="dcterms:W3CDTF">2026-04-05T14:06:47Z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