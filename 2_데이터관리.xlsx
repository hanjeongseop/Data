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충청\"/>
    </mc:Choice>
  </mc:AlternateContent>
  <xr:revisionPtr revIDLastSave="0" documentId="13_ncr:1_{83BF80D1-C2CC-4561-BD38-32330985D247}" xr6:coauthVersionLast="47" xr6:coauthVersionMax="47" xr10:uidLastSave="{00000000-0000-0000-0000-000000000000}"/>
  <bookViews>
    <workbookView xWindow="-108" yWindow="-108" windowWidth="23256" windowHeight="12576" tabRatio="500" xr2:uid="{00000000-000D-0000-FFFF-FFFF00000000}"/>
  </bookViews>
  <sheets>
    <sheet name="① 마스터테이블" sheetId="1" r:id="rId1"/>
    <sheet name="② 생산실적_원본" sheetId="2" r:id="rId2"/>
    <sheet name="③ 기초통계_실습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11" i="3" l="1"/>
  <c r="M11" i="3"/>
  <c r="L11" i="3"/>
  <c r="N10" i="3"/>
  <c r="M10" i="3"/>
  <c r="L10" i="3"/>
  <c r="N9" i="3"/>
  <c r="M9" i="3"/>
  <c r="L9" i="3"/>
  <c r="N8" i="3"/>
  <c r="M8" i="3"/>
  <c r="L8" i="3"/>
  <c r="N7" i="3"/>
  <c r="M7" i="3"/>
  <c r="L7" i="3"/>
  <c r="N6" i="3"/>
  <c r="M6" i="3"/>
  <c r="L6" i="3"/>
  <c r="N5" i="3"/>
  <c r="M5" i="3"/>
  <c r="L5" i="3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</calcChain>
</file>

<file path=xl/sharedStrings.xml><?xml version="1.0" encoding="utf-8"?>
<sst xmlns="http://schemas.openxmlformats.org/spreadsheetml/2006/main" count="901" uniqueCount="303">
  <si>
    <t>마스터 테이블 — 제품 / 설비 / 작업자  (VLOOKUP 실습용)</t>
  </si>
  <si>
    <t>■ 제품 마스터</t>
  </si>
  <si>
    <t>■ 설비 마스터</t>
  </si>
  <si>
    <t>■ 작업자 마스터</t>
  </si>
  <si>
    <t>제품ID</t>
  </si>
  <si>
    <t>제품명</t>
  </si>
  <si>
    <t>규격</t>
  </si>
  <si>
    <t>단가(원)</t>
  </si>
  <si>
    <t>담당부서</t>
  </si>
  <si>
    <t>설비ID</t>
  </si>
  <si>
    <t>설비명</t>
  </si>
  <si>
    <t>공정</t>
  </si>
  <si>
    <t>설치년도</t>
  </si>
  <si>
    <t>담당팀</t>
  </si>
  <si>
    <t>작업자ID</t>
  </si>
  <si>
    <t>이름</t>
  </si>
  <si>
    <t>교대</t>
  </si>
  <si>
    <t>경력(년)</t>
  </si>
  <si>
    <t>자격증</t>
  </si>
  <si>
    <t>소속팀</t>
  </si>
  <si>
    <t>P01</t>
  </si>
  <si>
    <r>
      <rPr>
        <sz val="10"/>
        <rFont val="Arial"/>
        <family val="2"/>
      </rPr>
      <t>A</t>
    </r>
    <r>
      <rPr>
        <sz val="10"/>
        <rFont val="Noto Sans CJK SC"/>
        <family val="2"/>
      </rPr>
      <t>제품</t>
    </r>
  </si>
  <si>
    <t>100×50mm</t>
  </si>
  <si>
    <t>생산1팀</t>
  </si>
  <si>
    <t>M01</t>
  </si>
  <si>
    <t>CNC-01</t>
  </si>
  <si>
    <t>가공</t>
  </si>
  <si>
    <t>설비1팀</t>
  </si>
  <si>
    <t>E001</t>
  </si>
  <si>
    <t>김민준</t>
  </si>
  <si>
    <t>주간</t>
  </si>
  <si>
    <r>
      <rPr>
        <sz val="10"/>
        <rFont val="Arial"/>
        <family val="2"/>
      </rPr>
      <t>CNC</t>
    </r>
    <r>
      <rPr>
        <sz val="10"/>
        <rFont val="Noto Sans CJK SC"/>
        <family val="2"/>
      </rPr>
      <t>기능사</t>
    </r>
  </si>
  <si>
    <t>P02</t>
  </si>
  <si>
    <r>
      <rPr>
        <sz val="10"/>
        <rFont val="Arial"/>
        <family val="2"/>
      </rPr>
      <t>B</t>
    </r>
    <r>
      <rPr>
        <sz val="10"/>
        <rFont val="Noto Sans CJK SC"/>
        <family val="2"/>
      </rPr>
      <t>제품</t>
    </r>
  </si>
  <si>
    <t>200×80mm</t>
  </si>
  <si>
    <t>생산2팀</t>
  </si>
  <si>
    <t>M02</t>
  </si>
  <si>
    <t>CNC-02</t>
  </si>
  <si>
    <t>E002</t>
  </si>
  <si>
    <t>이수연</t>
  </si>
  <si>
    <t>품질관리사</t>
  </si>
  <si>
    <t>P03</t>
  </si>
  <si>
    <r>
      <rPr>
        <sz val="10"/>
        <rFont val="Arial"/>
        <family val="2"/>
      </rPr>
      <t>C</t>
    </r>
    <r>
      <rPr>
        <sz val="10"/>
        <rFont val="Noto Sans CJK SC"/>
        <family val="2"/>
      </rPr>
      <t>제품</t>
    </r>
  </si>
  <si>
    <t>150×60mm</t>
  </si>
  <si>
    <t>M03</t>
  </si>
  <si>
    <t>CNC-03</t>
  </si>
  <si>
    <t>설비2팀</t>
  </si>
  <si>
    <t>E003</t>
  </si>
  <si>
    <t>박지호</t>
  </si>
  <si>
    <t>M04</t>
  </si>
  <si>
    <t>CMM-01</t>
  </si>
  <si>
    <t>검사</t>
  </si>
  <si>
    <t>품질팀</t>
  </si>
  <si>
    <t>E004</t>
  </si>
  <si>
    <t>정하늘</t>
  </si>
  <si>
    <t>야간</t>
  </si>
  <si>
    <t>기계가공기능사</t>
  </si>
  <si>
    <t>E005</t>
  </si>
  <si>
    <t>최유진</t>
  </si>
  <si>
    <t>E006</t>
  </si>
  <si>
    <t>한도윤</t>
  </si>
  <si>
    <t>-</t>
  </si>
  <si>
    <t>생산 실적 원본 — VLOOKUP · 피벗테이블 · 조건부서식 실습용</t>
  </si>
  <si>
    <t>※ 제품명·설비명·작업자명은 비어 있음 — VLOOKUP으로 채우는 것이 실습 목표</t>
  </si>
  <si>
    <t>LOT_ID</t>
  </si>
  <si>
    <t>날짜</t>
  </si>
  <si>
    <t>제품명
(VLOOKUP)</t>
  </si>
  <si>
    <t>설비명
(VLOOKUP)</t>
  </si>
  <si>
    <t>작업자명
(VLOOKUP)</t>
  </si>
  <si>
    <t>생산수량</t>
  </si>
  <si>
    <t>불량수량</t>
  </si>
  <si>
    <t>불량률(%)</t>
  </si>
  <si>
    <t>L0001</t>
  </si>
  <si>
    <t>2026-01-01</t>
  </si>
  <si>
    <t>L0002</t>
  </si>
  <si>
    <t>L0003</t>
  </si>
  <si>
    <t>L0004</t>
  </si>
  <si>
    <t>2026-01-02</t>
  </si>
  <si>
    <t>L0005</t>
  </si>
  <si>
    <t>L0006</t>
  </si>
  <si>
    <t>2026-01-03</t>
  </si>
  <si>
    <t>L0007</t>
  </si>
  <si>
    <t>L0008</t>
  </si>
  <si>
    <t>L0009</t>
  </si>
  <si>
    <t>2026-01-04</t>
  </si>
  <si>
    <t>L0010</t>
  </si>
  <si>
    <t>L0011</t>
  </si>
  <si>
    <t>L0012</t>
  </si>
  <si>
    <t>2026-01-05</t>
  </si>
  <si>
    <t>L0013</t>
  </si>
  <si>
    <t>L0014</t>
  </si>
  <si>
    <t>L0015</t>
  </si>
  <si>
    <t>2026-01-06</t>
  </si>
  <si>
    <t>L0016</t>
  </si>
  <si>
    <t>L0017</t>
  </si>
  <si>
    <t>2026-01-07</t>
  </si>
  <si>
    <t>L0018</t>
  </si>
  <si>
    <t>L0019</t>
  </si>
  <si>
    <t>2026-01-08</t>
  </si>
  <si>
    <t>L0020</t>
  </si>
  <si>
    <t>L0021</t>
  </si>
  <si>
    <t>2026-01-09</t>
  </si>
  <si>
    <t>L0022</t>
  </si>
  <si>
    <t>L0023</t>
  </si>
  <si>
    <t>2026-01-10</t>
  </si>
  <si>
    <t>L0024</t>
  </si>
  <si>
    <t>L0025</t>
  </si>
  <si>
    <t>L0026</t>
  </si>
  <si>
    <t>2026-01-11</t>
  </si>
  <si>
    <t>L0027</t>
  </si>
  <si>
    <t>L0028</t>
  </si>
  <si>
    <t>2026-01-12</t>
  </si>
  <si>
    <t>L0029</t>
  </si>
  <si>
    <t>L0030</t>
  </si>
  <si>
    <t>2026-01-13</t>
  </si>
  <si>
    <t>L0031</t>
  </si>
  <si>
    <t>L0032</t>
  </si>
  <si>
    <t>L0033</t>
  </si>
  <si>
    <t>2026-01-14</t>
  </si>
  <si>
    <t>L0034</t>
  </si>
  <si>
    <t>L0035</t>
  </si>
  <si>
    <t>L0036</t>
  </si>
  <si>
    <t>2026-01-15</t>
  </si>
  <si>
    <t>L0037</t>
  </si>
  <si>
    <t>L0038</t>
  </si>
  <si>
    <t>2026-01-16</t>
  </si>
  <si>
    <t>L0039</t>
  </si>
  <si>
    <t>L0040</t>
  </si>
  <si>
    <t>2026-01-17</t>
  </si>
  <si>
    <t>L0041</t>
  </si>
  <si>
    <t>L0042</t>
  </si>
  <si>
    <t>2026-01-18</t>
  </si>
  <si>
    <t>L0043</t>
  </si>
  <si>
    <t>L0044</t>
  </si>
  <si>
    <t>2026-01-19</t>
  </si>
  <si>
    <t>L0045</t>
  </si>
  <si>
    <t>L0046</t>
  </si>
  <si>
    <t>L0047</t>
  </si>
  <si>
    <t>2026-01-20</t>
  </si>
  <si>
    <t>L0048</t>
  </si>
  <si>
    <t>L0049</t>
  </si>
  <si>
    <t>L0050</t>
  </si>
  <si>
    <t>2026-01-21</t>
  </si>
  <si>
    <t>L0051</t>
  </si>
  <si>
    <t>L0052</t>
  </si>
  <si>
    <t>2026-01-22</t>
  </si>
  <si>
    <t>L0053</t>
  </si>
  <si>
    <t>L0054</t>
  </si>
  <si>
    <t>2026-01-23</t>
  </si>
  <si>
    <t>L0055</t>
  </si>
  <si>
    <t>L0056</t>
  </si>
  <si>
    <t>2026-01-24</t>
  </si>
  <si>
    <t>L0057</t>
  </si>
  <si>
    <t>L0058</t>
  </si>
  <si>
    <t>L0059</t>
  </si>
  <si>
    <t>2026-01-25</t>
  </si>
  <si>
    <t>L0060</t>
  </si>
  <si>
    <t>L0061</t>
  </si>
  <si>
    <t>2026-01-26</t>
  </si>
  <si>
    <t>L0062</t>
  </si>
  <si>
    <t>L0063</t>
  </si>
  <si>
    <t>L0064</t>
  </si>
  <si>
    <t>2026-01-27</t>
  </si>
  <si>
    <t>L0065</t>
  </si>
  <si>
    <t>L0066</t>
  </si>
  <si>
    <t>2026-01-28</t>
  </si>
  <si>
    <t>L0067</t>
  </si>
  <si>
    <t>L0068</t>
  </si>
  <si>
    <t>L0069</t>
  </si>
  <si>
    <t>2026-01-29</t>
  </si>
  <si>
    <t>L0070</t>
  </si>
  <si>
    <t>L0071</t>
  </si>
  <si>
    <t>L0072</t>
  </si>
  <si>
    <t>2026-01-30</t>
  </si>
  <si>
    <t>L0073</t>
  </si>
  <si>
    <t>L0074</t>
  </si>
  <si>
    <t>2026-01-31</t>
  </si>
  <si>
    <t>L0075</t>
  </si>
  <si>
    <t>L0076</t>
  </si>
  <si>
    <t>L0077</t>
  </si>
  <si>
    <t>2026-02-01</t>
  </si>
  <si>
    <t>L0078</t>
  </si>
  <si>
    <t>L0079</t>
  </si>
  <si>
    <t>2026-02-02</t>
  </si>
  <si>
    <t>L0080</t>
  </si>
  <si>
    <t>L0081</t>
  </si>
  <si>
    <t>2026-02-03</t>
  </si>
  <si>
    <t>L0082</t>
  </si>
  <si>
    <t>L0083</t>
  </si>
  <si>
    <t>L0084</t>
  </si>
  <si>
    <t>2026-02-04</t>
  </si>
  <si>
    <t>L0085</t>
  </si>
  <si>
    <t>L0086</t>
  </si>
  <si>
    <t>2026-02-05</t>
  </si>
  <si>
    <t>L0087</t>
  </si>
  <si>
    <t>L0088</t>
  </si>
  <si>
    <t>L0089</t>
  </si>
  <si>
    <t>2026-02-06</t>
  </si>
  <si>
    <t>L0090</t>
  </si>
  <si>
    <t>L0091</t>
  </si>
  <si>
    <t>2026-02-07</t>
  </si>
  <si>
    <t>L0092</t>
  </si>
  <si>
    <t>L0093</t>
  </si>
  <si>
    <t>2026-02-08</t>
  </si>
  <si>
    <t>L0094</t>
  </si>
  <si>
    <t>L0095</t>
  </si>
  <si>
    <t>2026-02-09</t>
  </si>
  <si>
    <t>L0096</t>
  </si>
  <si>
    <t>L0097</t>
  </si>
  <si>
    <t>L0098</t>
  </si>
  <si>
    <t>2026-02-10</t>
  </si>
  <si>
    <t>L0099</t>
  </si>
  <si>
    <t>L0100</t>
  </si>
  <si>
    <t>L0101</t>
  </si>
  <si>
    <t>2026-02-11</t>
  </si>
  <si>
    <t>L0102</t>
  </si>
  <si>
    <t>L0103</t>
  </si>
  <si>
    <t>2026-02-12</t>
  </si>
  <si>
    <t>L0104</t>
  </si>
  <si>
    <t>L0105</t>
  </si>
  <si>
    <t>L0106</t>
  </si>
  <si>
    <t>2026-02-13</t>
  </si>
  <si>
    <t>L0107</t>
  </si>
  <si>
    <t>L0108</t>
  </si>
  <si>
    <t>L0109</t>
  </si>
  <si>
    <t>2026-02-14</t>
  </si>
  <si>
    <t>L0110</t>
  </si>
  <si>
    <t>L0111</t>
  </si>
  <si>
    <t>2026-02-15</t>
  </si>
  <si>
    <t>L0112</t>
  </si>
  <si>
    <t>L0113</t>
  </si>
  <si>
    <t>2026-02-16</t>
  </si>
  <si>
    <t>L0114</t>
  </si>
  <si>
    <t>L0115</t>
  </si>
  <si>
    <t>L0116</t>
  </si>
  <si>
    <t>2026-02-17</t>
  </si>
  <si>
    <t>L0117</t>
  </si>
  <si>
    <t>L0118</t>
  </si>
  <si>
    <t>2026-02-18</t>
  </si>
  <si>
    <t>L0119</t>
  </si>
  <si>
    <t>L0120</t>
  </si>
  <si>
    <t>2026-02-19</t>
  </si>
  <si>
    <t>기초 통계 실습 — 평균 · 표준편차 · 히스토그램 (공정 비교)</t>
  </si>
  <si>
    <r>
      <rPr>
        <b/>
        <sz val="11"/>
        <color rgb="FFFFFFFF"/>
        <rFont val="Arial"/>
        <family val="2"/>
      </rPr>
      <t>■ [</t>
    </r>
    <r>
      <rPr>
        <b/>
        <sz val="11"/>
        <color rgb="FFFFFFFF"/>
        <rFont val="Noto Sans CJK SC"/>
        <family val="2"/>
      </rPr>
      <t>데이터</t>
    </r>
    <r>
      <rPr>
        <b/>
        <sz val="11"/>
        <color rgb="FFFFFFFF"/>
        <rFont val="Arial"/>
        <family val="2"/>
      </rPr>
      <t xml:space="preserve">] </t>
    </r>
    <r>
      <rPr>
        <b/>
        <sz val="11"/>
        <color rgb="FFFFFFFF"/>
        <rFont val="Noto Sans CJK SC"/>
        <family val="2"/>
      </rPr>
      <t>공정별 사이클타임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초</t>
    </r>
    <r>
      <rPr>
        <b/>
        <sz val="11"/>
        <color rgb="FFFFFFFF"/>
        <rFont val="Arial"/>
        <family val="2"/>
      </rPr>
      <t>) — 30 LOT</t>
    </r>
  </si>
  <si>
    <r>
      <rPr>
        <b/>
        <sz val="11"/>
        <color rgb="FFFFFFFF"/>
        <rFont val="Arial"/>
        <family val="2"/>
      </rPr>
      <t>■ [</t>
    </r>
    <r>
      <rPr>
        <b/>
        <sz val="11"/>
        <color rgb="FFFFFFFF"/>
        <rFont val="Noto Sans CJK SC"/>
        <family val="2"/>
      </rPr>
      <t>실습</t>
    </r>
    <r>
      <rPr>
        <b/>
        <sz val="11"/>
        <color rgb="FFFFFFFF"/>
        <rFont val="Arial"/>
        <family val="2"/>
      </rPr>
      <t xml:space="preserve">] </t>
    </r>
    <r>
      <rPr>
        <b/>
        <sz val="11"/>
        <color rgb="FFFFFFFF"/>
        <rFont val="Noto Sans CJK SC"/>
        <family val="2"/>
      </rPr>
      <t>통계 계산 — 수식을 직접 입력하세요</t>
    </r>
  </si>
  <si>
    <t>LOT</t>
  </si>
  <si>
    <t>공정A
(안정)</t>
  </si>
  <si>
    <t>공정B
(불안정)</t>
  </si>
  <si>
    <t>공정C
(편향)</t>
  </si>
  <si>
    <t>설비온도(℃)</t>
  </si>
  <si>
    <t>불량여부</t>
  </si>
  <si>
    <t>통계 항목</t>
  </si>
  <si>
    <t>공정A</t>
  </si>
  <si>
    <t>공정B</t>
  </si>
  <si>
    <t>공정C</t>
  </si>
  <si>
    <t>공정A
(답)</t>
  </si>
  <si>
    <t>공정B
(답)</t>
  </si>
  <si>
    <t>공정C
(답)</t>
  </si>
  <si>
    <t>L01</t>
  </si>
  <si>
    <t>정상</t>
  </si>
  <si>
    <t>평균(초)</t>
  </si>
  <si>
    <t>L02</t>
  </si>
  <si>
    <t>중앙값(초)</t>
  </si>
  <si>
    <t>L03</t>
  </si>
  <si>
    <t>최솟값(초)</t>
  </si>
  <si>
    <t>L04</t>
  </si>
  <si>
    <t>불량</t>
  </si>
  <si>
    <t>최댓값(초)</t>
  </si>
  <si>
    <t>L05</t>
  </si>
  <si>
    <t>표준편차(σ)</t>
  </si>
  <si>
    <t>L06</t>
  </si>
  <si>
    <t>분산</t>
  </si>
  <si>
    <t>L07</t>
  </si>
  <si>
    <t>이상치 개수</t>
  </si>
  <si>
    <t>L08</t>
  </si>
  <si>
    <t>L09</t>
  </si>
  <si>
    <t>L10</t>
  </si>
  <si>
    <t>L11</t>
  </si>
  <si>
    <t>L12</t>
  </si>
  <si>
    <t>L13</t>
  </si>
  <si>
    <t>L14</t>
  </si>
  <si>
    <t>L15</t>
  </si>
  <si>
    <t>L16</t>
  </si>
  <si>
    <t>L17</t>
  </si>
  <si>
    <t>L18</t>
  </si>
  <si>
    <t>L19</t>
  </si>
  <si>
    <t>L20</t>
  </si>
  <si>
    <t>L21</t>
  </si>
  <si>
    <t>L22</t>
  </si>
  <si>
    <t>L23</t>
  </si>
  <si>
    <t>L24</t>
  </si>
  <si>
    <t>L25</t>
  </si>
  <si>
    <t>L26</t>
  </si>
  <si>
    <t>L27</t>
  </si>
  <si>
    <t>L28</t>
  </si>
  <si>
    <t>L29</t>
  </si>
  <si>
    <t>L30</t>
  </si>
  <si>
    <r>
      <rPr>
        <b/>
        <sz val="11"/>
        <color rgb="FFFFFFFF"/>
        <rFont val="Arial"/>
        <family val="2"/>
      </rPr>
      <t>■ [</t>
    </r>
    <r>
      <rPr>
        <b/>
        <sz val="11"/>
        <color rgb="FFFFFFFF"/>
        <rFont val="Noto Sans CJK SC"/>
        <family val="2"/>
      </rPr>
      <t>해석 포인트</t>
    </r>
    <r>
      <rPr>
        <b/>
        <sz val="11"/>
        <color rgb="FFFFFFFF"/>
        <rFont val="Arial"/>
        <family val="2"/>
      </rPr>
      <t xml:space="preserve">] </t>
    </r>
    <r>
      <rPr>
        <b/>
        <sz val="11"/>
        <color rgb="FFFFFFFF"/>
        <rFont val="Noto Sans CJK SC"/>
        <family val="2"/>
      </rPr>
      <t>차트를 그린 뒤 스스로 답해보세요</t>
    </r>
  </si>
  <si>
    <t>① 공정A와 공정B의 평균은 비슷한가? 그렇다면 두 공정은 동일한 품질 수준인가?</t>
  </si>
  <si>
    <t>② 공정B의 표준편차는 공정A의 몇 배인가? 현장에서 이 차이는 어떤 의미인가?</t>
  </si>
  <si>
    <t>③ 공정C의 히스토그램 모양은 공정A와 어떻게 다른가? 치우침(편향)이 의미하는 것은?</t>
  </si>
  <si>
    <t>④ 이상치(빨간 값)가 생긴 LOT에서 설비온도는 어떠했는가? 상관관계가 보이는가?</t>
  </si>
  <si>
    <r>
      <rPr>
        <sz val="10"/>
        <color rgb="FF404040"/>
        <rFont val="Arial"/>
        <family val="2"/>
      </rPr>
      <t>⑤ "</t>
    </r>
    <r>
      <rPr>
        <sz val="10"/>
        <color rgb="FF404040"/>
        <rFont val="Noto Sans CJK SC"/>
        <family val="2"/>
      </rPr>
      <t>평균은 수준을 말하고</t>
    </r>
    <r>
      <rPr>
        <sz val="10"/>
        <color rgb="FF404040"/>
        <rFont val="Arial"/>
        <family val="2"/>
      </rPr>
      <t xml:space="preserve">, </t>
    </r>
    <r>
      <rPr>
        <sz val="10"/>
        <color rgb="FF404040"/>
        <rFont val="Noto Sans CJK SC"/>
        <family val="2"/>
      </rPr>
      <t>표준편차는 위험을 말한다</t>
    </r>
    <r>
      <rPr>
        <sz val="10"/>
        <color rgb="FF404040"/>
        <rFont val="Arial"/>
        <family val="2"/>
      </rPr>
      <t xml:space="preserve">" — </t>
    </r>
    <r>
      <rPr>
        <sz val="10"/>
        <color rgb="FF404040"/>
        <rFont val="Noto Sans CJK SC"/>
        <family val="2"/>
      </rPr>
      <t>데이터로 이 문장을 설명해보자</t>
    </r>
    <r>
      <rPr>
        <sz val="10"/>
        <color rgb="FF404040"/>
        <rFont val="Arial"/>
        <family val="2"/>
      </rPr>
      <t>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</si>
</sst>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23">
    <font>
      <sz val="11"/>
      <color theme="1"/>
      <name val="Calibri"/>
      <family val="2"/>
      <charset val="1"/>
    </font>
    <font>
      <b/>
      <sz val="13"/>
      <color rgb="FFFFFFFF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b/>
      <sz val="10"/>
      <color rgb="FF1F4E79"/>
      <name val="Noto Sans CJK SC"/>
      <family val="2"/>
      <charset val="1"/>
    </font>
    <font>
      <sz val="10"/>
      <name val="Arial"/>
      <family val="2"/>
    </font>
    <font>
      <sz val="10"/>
      <name val="Noto Sans CJK SC"/>
      <family val="2"/>
    </font>
    <font>
      <sz val="10"/>
      <name val="Noto Sans CJK SC"/>
      <family val="2"/>
      <charset val="1"/>
    </font>
    <font>
      <b/>
      <i/>
      <sz val="10"/>
      <color rgb="FF9C0006"/>
      <name val="Noto Sans CJK SC"/>
      <family val="2"/>
      <charset val="1"/>
    </font>
    <font>
      <b/>
      <sz val="10"/>
      <color rgb="FF1F4E79"/>
      <name val="Arial"/>
      <family val="2"/>
    </font>
    <font>
      <sz val="10"/>
      <color rgb="FF2E75B6"/>
      <name val="Arial"/>
      <family val="2"/>
    </font>
    <font>
      <b/>
      <sz val="11"/>
      <color rgb="FFFFFFFF"/>
      <name val="Arial"/>
      <family val="2"/>
    </font>
    <font>
      <b/>
      <sz val="11"/>
      <color rgb="FFFFFFFF"/>
      <name val="Noto Sans CJK SC"/>
      <family val="2"/>
    </font>
    <font>
      <b/>
      <sz val="10"/>
      <color rgb="FF375623"/>
      <name val="Arial"/>
      <family val="2"/>
    </font>
    <font>
      <b/>
      <sz val="10"/>
      <color rgb="FF375623"/>
      <name val="Noto Sans CJK SC"/>
      <family val="2"/>
      <charset val="1"/>
    </font>
    <font>
      <b/>
      <sz val="10"/>
      <color rgb="FF7030A0"/>
      <name val="Noto Sans CJK SC"/>
      <family val="2"/>
      <charset val="1"/>
    </font>
    <font>
      <b/>
      <sz val="10"/>
      <name val="Noto Sans CJK SC"/>
      <family val="2"/>
      <charset val="1"/>
    </font>
    <font>
      <i/>
      <sz val="10"/>
      <color rgb="FF808080"/>
      <name val="Arial"/>
      <family val="2"/>
    </font>
    <font>
      <b/>
      <sz val="10"/>
      <color rgb="FFFF0000"/>
      <name val="Arial"/>
      <family val="2"/>
    </font>
    <font>
      <b/>
      <sz val="10"/>
      <color rgb="FFFF0000"/>
      <name val="Noto Sans CJK SC"/>
      <family val="2"/>
      <charset val="1"/>
    </font>
    <font>
      <sz val="10"/>
      <color rgb="FF404040"/>
      <name val="Noto Sans CJK SC"/>
      <family val="2"/>
      <charset val="1"/>
    </font>
    <font>
      <sz val="10"/>
      <color rgb="FF404040"/>
      <name val="Arial"/>
      <family val="2"/>
    </font>
    <font>
      <sz val="10"/>
      <color rgb="FF404040"/>
      <name val="Noto Sans CJK SC"/>
      <family val="2"/>
    </font>
    <font>
      <sz val="8"/>
      <name val="돋움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BDD7EE"/>
        <bgColor rgb="FF99CCFF"/>
      </patternFill>
    </fill>
    <fill>
      <patternFill patternType="solid">
        <fgColor rgb="FFF2F2F2"/>
        <bgColor rgb="FFEDE7F6"/>
      </patternFill>
    </fill>
    <fill>
      <patternFill patternType="solid">
        <fgColor rgb="FFFFFFFF"/>
        <bgColor rgb="FFF2F2F2"/>
      </patternFill>
    </fill>
    <fill>
      <patternFill patternType="solid">
        <fgColor rgb="FFFFE7E7"/>
        <bgColor rgb="FFEDE7F6"/>
      </patternFill>
    </fill>
    <fill>
      <patternFill patternType="solid">
        <fgColor rgb="FFFFF2CC"/>
        <bgColor rgb="FFFFE7E7"/>
      </patternFill>
    </fill>
    <fill>
      <patternFill patternType="solid">
        <fgColor rgb="FF375623"/>
        <bgColor rgb="FF404040"/>
      </patternFill>
    </fill>
    <fill>
      <patternFill patternType="solid">
        <fgColor rgb="FF7030A0"/>
        <bgColor rgb="FF993366"/>
      </patternFill>
    </fill>
    <fill>
      <patternFill patternType="solid">
        <fgColor rgb="FFE2EFDA"/>
        <bgColor rgb="FFDEEAF1"/>
      </patternFill>
    </fill>
    <fill>
      <patternFill patternType="solid">
        <fgColor rgb="FFEDE7F6"/>
        <bgColor rgb="FFDEEAF1"/>
      </patternFill>
    </fill>
    <fill>
      <patternFill patternType="solid">
        <fgColor rgb="FFED7D31"/>
        <bgColor rgb="FFFF8080"/>
      </patternFill>
    </fill>
  </fills>
  <borders count="4">
    <border>
      <left/>
      <right/>
      <top/>
      <bottom/>
      <diagonal/>
    </border>
    <border>
      <left style="thin">
        <color rgb="FFBFBFBF"/>
      </left>
      <right/>
      <top style="medium">
        <color rgb="FF2E75B6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20" fillId="6" borderId="3" xfId="0" applyFont="1" applyFill="1" applyBorder="1" applyAlignment="1">
      <alignment horizontal="left" vertical="center" wrapText="1"/>
    </xf>
    <xf numFmtId="0" fontId="19" fillId="8" borderId="3" xfId="0" applyFont="1" applyFill="1" applyBorder="1" applyAlignment="1">
      <alignment horizontal="left" vertical="center" wrapText="1"/>
    </xf>
    <xf numFmtId="0" fontId="19" fillId="6" borderId="3" xfId="0" applyFont="1" applyFill="1" applyBorder="1" applyAlignment="1">
      <alignment horizontal="left" vertical="center" wrapText="1"/>
    </xf>
    <xf numFmtId="0" fontId="10" fillId="13" borderId="1" xfId="0" applyFont="1" applyFill="1" applyBorder="1" applyAlignment="1">
      <alignment horizontal="left" vertical="center"/>
    </xf>
    <xf numFmtId="0" fontId="10" fillId="10" borderId="1" xfId="0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left" vertical="center"/>
    </xf>
    <xf numFmtId="0" fontId="7" fillId="7" borderId="0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center" vertical="center"/>
    </xf>
    <xf numFmtId="0" fontId="0" fillId="0" borderId="0" xfId="0" applyAlignment="1"/>
    <xf numFmtId="0" fontId="3" fillId="4" borderId="2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left" vertical="center"/>
    </xf>
    <xf numFmtId="3" fontId="4" fillId="5" borderId="2" xfId="0" applyNumberFormat="1" applyFont="1" applyFill="1" applyBorder="1" applyAlignment="1">
      <alignment horizontal="right" vertical="center"/>
    </xf>
    <xf numFmtId="0" fontId="6" fillId="5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right" vertical="center"/>
    </xf>
    <xf numFmtId="0" fontId="6" fillId="5" borderId="2" xfId="0" applyFont="1" applyFill="1" applyBorder="1" applyAlignment="1">
      <alignment horizontal="left" vertical="center"/>
    </xf>
    <xf numFmtId="0" fontId="4" fillId="6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left" vertical="center"/>
    </xf>
    <xf numFmtId="3" fontId="4" fillId="6" borderId="2" xfId="0" applyNumberFormat="1" applyFont="1" applyFill="1" applyBorder="1" applyAlignment="1">
      <alignment horizontal="right" vertical="center"/>
    </xf>
    <xf numFmtId="0" fontId="6" fillId="6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right" vertical="center"/>
    </xf>
    <xf numFmtId="0" fontId="6" fillId="6" borderId="2" xfId="0" applyFont="1" applyFill="1" applyBorder="1" applyAlignment="1">
      <alignment horizontal="left" vertical="center"/>
    </xf>
    <xf numFmtId="0" fontId="8" fillId="4" borderId="2" xfId="0" applyFont="1" applyFill="1" applyBorder="1" applyAlignment="1">
      <alignment horizontal="center" vertical="center" wrapText="1"/>
    </xf>
    <xf numFmtId="0" fontId="0" fillId="8" borderId="2" xfId="0" applyFill="1" applyBorder="1" applyAlignment="1">
      <alignment horizontal="center" vertical="center"/>
    </xf>
    <xf numFmtId="2" fontId="9" fillId="6" borderId="2" xfId="0" applyNumberFormat="1" applyFont="1" applyFill="1" applyBorder="1" applyAlignment="1">
      <alignment horizontal="right" vertical="center"/>
    </xf>
    <xf numFmtId="2" fontId="9" fillId="5" borderId="2" xfId="0" applyNumberFormat="1" applyFont="1" applyFill="1" applyBorder="1" applyAlignment="1">
      <alignment horizontal="right" vertical="center"/>
    </xf>
    <xf numFmtId="0" fontId="12" fillId="11" borderId="2" xfId="0" applyFont="1" applyFill="1" applyBorder="1" applyAlignment="1">
      <alignment horizontal="center" vertical="center" wrapText="1"/>
    </xf>
    <xf numFmtId="0" fontId="13" fillId="11" borderId="2" xfId="0" applyFont="1" applyFill="1" applyBorder="1" applyAlignment="1">
      <alignment horizontal="center" vertical="center" wrapText="1"/>
    </xf>
    <xf numFmtId="0" fontId="14" fillId="12" borderId="2" xfId="0" applyFont="1" applyFill="1" applyBorder="1" applyAlignment="1">
      <alignment horizontal="center" vertical="center" wrapText="1"/>
    </xf>
    <xf numFmtId="176" fontId="4" fillId="6" borderId="2" xfId="0" applyNumberFormat="1" applyFont="1" applyFill="1" applyBorder="1" applyAlignment="1">
      <alignment horizontal="right" vertical="center"/>
    </xf>
    <xf numFmtId="0" fontId="15" fillId="5" borderId="2" xfId="0" applyFont="1" applyFill="1" applyBorder="1" applyAlignment="1">
      <alignment horizontal="left" vertical="center"/>
    </xf>
    <xf numFmtId="2" fontId="16" fillId="5" borderId="2" xfId="0" applyNumberFormat="1" applyFont="1" applyFill="1" applyBorder="1" applyAlignment="1">
      <alignment horizontal="right" vertical="center"/>
    </xf>
    <xf numFmtId="176" fontId="4" fillId="5" borderId="2" xfId="0" applyNumberFormat="1" applyFont="1" applyFill="1" applyBorder="1" applyAlignment="1">
      <alignment horizontal="right" vertical="center"/>
    </xf>
    <xf numFmtId="0" fontId="15" fillId="6" borderId="2" xfId="0" applyFont="1" applyFill="1" applyBorder="1" applyAlignment="1">
      <alignment horizontal="left" vertical="center"/>
    </xf>
    <xf numFmtId="176" fontId="17" fillId="5" borderId="2" xfId="0" applyNumberFormat="1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center" vertical="center"/>
    </xf>
    <xf numFmtId="176" fontId="17" fillId="6" borderId="2" xfId="0" applyNumberFormat="1" applyFont="1" applyFill="1" applyBorder="1" applyAlignment="1">
      <alignment horizontal="right" vertical="center"/>
    </xf>
    <xf numFmtId="0" fontId="18" fillId="6" borderId="2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DEEAF1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E7E7"/>
      <rgbColor rgb="FF99CCFF"/>
      <rgbColor rgb="FFFF99CC"/>
      <rgbColor rgb="FFCC99FF"/>
      <rgbColor rgb="FFEDE7F6"/>
      <rgbColor rgb="FF2E75B6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75623"/>
      <rgbColor rgb="FF7B3F00"/>
      <rgbColor rgb="FF993366"/>
      <rgbColor rgb="FF1F4E7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"/>
  <sheetViews>
    <sheetView tabSelected="1" zoomScaleNormal="100" workbookViewId="0">
      <pane ySplit="4" topLeftCell="A5" activePane="bottomLeft" state="frozen"/>
      <selection pane="bottomLeft" sqref="A1:R1"/>
    </sheetView>
  </sheetViews>
  <sheetFormatPr defaultColWidth="8.6640625" defaultRowHeight="14.4"/>
  <cols>
    <col min="1" max="1" width="8" style="10" customWidth="1"/>
    <col min="2" max="2" width="9" style="10" customWidth="1"/>
    <col min="3" max="4" width="12" style="10" customWidth="1"/>
    <col min="5" max="5" width="10" style="10" customWidth="1"/>
    <col min="7" max="7" width="8" style="10" customWidth="1"/>
    <col min="8" max="8" width="9" style="10" customWidth="1"/>
    <col min="9" max="9" width="8" style="10" customWidth="1"/>
    <col min="10" max="11" width="10" style="10" customWidth="1"/>
    <col min="13" max="14" width="9" style="10" customWidth="1"/>
    <col min="15" max="15" width="7" style="10" customWidth="1"/>
    <col min="16" max="16" width="10" style="10" customWidth="1"/>
    <col min="17" max="17" width="14" style="10" customWidth="1"/>
    <col min="18" max="18" width="10" style="10" customWidth="1"/>
  </cols>
  <sheetData>
    <row r="1" spans="1:18" ht="27.75" customHeight="1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</row>
    <row r="3" spans="1:18" ht="21.75" customHeight="1">
      <c r="A3" s="8" t="s">
        <v>1</v>
      </c>
      <c r="B3" s="8"/>
      <c r="C3" s="8"/>
      <c r="D3" s="8"/>
      <c r="E3" s="8"/>
      <c r="G3" s="8" t="s">
        <v>2</v>
      </c>
      <c r="H3" s="8"/>
      <c r="I3" s="8"/>
      <c r="J3" s="8"/>
      <c r="K3" s="8"/>
      <c r="M3" s="8" t="s">
        <v>3</v>
      </c>
      <c r="N3" s="8"/>
      <c r="O3" s="8"/>
      <c r="P3" s="8"/>
      <c r="Q3" s="8"/>
      <c r="R3" s="8"/>
    </row>
    <row r="4" spans="1:18" ht="19.5" customHeight="1">
      <c r="A4" s="11" t="s">
        <v>4</v>
      </c>
      <c r="B4" s="11" t="s">
        <v>5</v>
      </c>
      <c r="C4" s="11" t="s">
        <v>6</v>
      </c>
      <c r="D4" s="11" t="s">
        <v>7</v>
      </c>
      <c r="E4" s="11" t="s">
        <v>8</v>
      </c>
      <c r="G4" s="11" t="s">
        <v>9</v>
      </c>
      <c r="H4" s="11" t="s">
        <v>10</v>
      </c>
      <c r="I4" s="11" t="s">
        <v>11</v>
      </c>
      <c r="J4" s="11" t="s">
        <v>12</v>
      </c>
      <c r="K4" s="11" t="s">
        <v>13</v>
      </c>
      <c r="M4" s="11" t="s">
        <v>14</v>
      </c>
      <c r="N4" s="11" t="s">
        <v>15</v>
      </c>
      <c r="O4" s="11" t="s">
        <v>16</v>
      </c>
      <c r="P4" s="11" t="s">
        <v>17</v>
      </c>
      <c r="Q4" s="11" t="s">
        <v>18</v>
      </c>
      <c r="R4" s="11" t="s">
        <v>19</v>
      </c>
    </row>
    <row r="5" spans="1:18" ht="15" customHeight="1">
      <c r="A5" s="12" t="s">
        <v>20</v>
      </c>
      <c r="B5" s="13" t="s">
        <v>21</v>
      </c>
      <c r="C5" s="13" t="s">
        <v>22</v>
      </c>
      <c r="D5" s="14">
        <v>12000</v>
      </c>
      <c r="E5" s="15" t="s">
        <v>23</v>
      </c>
      <c r="G5" s="12" t="s">
        <v>24</v>
      </c>
      <c r="H5" s="13" t="s">
        <v>25</v>
      </c>
      <c r="I5" s="15" t="s">
        <v>26</v>
      </c>
      <c r="J5" s="16">
        <v>2019</v>
      </c>
      <c r="K5" s="15" t="s">
        <v>27</v>
      </c>
      <c r="M5" s="12" t="s">
        <v>28</v>
      </c>
      <c r="N5" s="17" t="s">
        <v>29</v>
      </c>
      <c r="O5" s="15" t="s">
        <v>30</v>
      </c>
      <c r="P5" s="16">
        <v>7</v>
      </c>
      <c r="Q5" s="12" t="s">
        <v>31</v>
      </c>
      <c r="R5" s="17" t="s">
        <v>23</v>
      </c>
    </row>
    <row r="6" spans="1:18" ht="15" customHeight="1">
      <c r="A6" s="18" t="s">
        <v>32</v>
      </c>
      <c r="B6" s="19" t="s">
        <v>33</v>
      </c>
      <c r="C6" s="19" t="s">
        <v>34</v>
      </c>
      <c r="D6" s="20">
        <v>18500</v>
      </c>
      <c r="E6" s="21" t="s">
        <v>35</v>
      </c>
      <c r="G6" s="18" t="s">
        <v>36</v>
      </c>
      <c r="H6" s="19" t="s">
        <v>37</v>
      </c>
      <c r="I6" s="21" t="s">
        <v>26</v>
      </c>
      <c r="J6" s="22">
        <v>2020</v>
      </c>
      <c r="K6" s="21" t="s">
        <v>27</v>
      </c>
      <c r="M6" s="18" t="s">
        <v>38</v>
      </c>
      <c r="N6" s="23" t="s">
        <v>39</v>
      </c>
      <c r="O6" s="21" t="s">
        <v>30</v>
      </c>
      <c r="P6" s="22">
        <v>5</v>
      </c>
      <c r="Q6" s="21" t="s">
        <v>40</v>
      </c>
      <c r="R6" s="23" t="s">
        <v>23</v>
      </c>
    </row>
    <row r="7" spans="1:18" ht="15" customHeight="1">
      <c r="A7" s="12" t="s">
        <v>41</v>
      </c>
      <c r="B7" s="13" t="s">
        <v>42</v>
      </c>
      <c r="C7" s="13" t="s">
        <v>43</v>
      </c>
      <c r="D7" s="14">
        <v>15000</v>
      </c>
      <c r="E7" s="15" t="s">
        <v>23</v>
      </c>
      <c r="G7" s="12" t="s">
        <v>44</v>
      </c>
      <c r="H7" s="13" t="s">
        <v>45</v>
      </c>
      <c r="I7" s="15" t="s">
        <v>26</v>
      </c>
      <c r="J7" s="16">
        <v>2021</v>
      </c>
      <c r="K7" s="15" t="s">
        <v>46</v>
      </c>
      <c r="M7" s="12" t="s">
        <v>47</v>
      </c>
      <c r="N7" s="17" t="s">
        <v>48</v>
      </c>
      <c r="O7" s="15" t="s">
        <v>30</v>
      </c>
      <c r="P7" s="16">
        <v>3</v>
      </c>
      <c r="Q7" s="12" t="s">
        <v>31</v>
      </c>
      <c r="R7" s="17" t="s">
        <v>35</v>
      </c>
    </row>
    <row r="8" spans="1:18" ht="15" customHeight="1">
      <c r="G8" s="18" t="s">
        <v>49</v>
      </c>
      <c r="H8" s="19" t="s">
        <v>50</v>
      </c>
      <c r="I8" s="21" t="s">
        <v>51</v>
      </c>
      <c r="J8" s="22">
        <v>2022</v>
      </c>
      <c r="K8" s="21" t="s">
        <v>52</v>
      </c>
      <c r="M8" s="18" t="s">
        <v>53</v>
      </c>
      <c r="N8" s="23" t="s">
        <v>54</v>
      </c>
      <c r="O8" s="21" t="s">
        <v>55</v>
      </c>
      <c r="P8" s="22">
        <v>6</v>
      </c>
      <c r="Q8" s="21" t="s">
        <v>56</v>
      </c>
      <c r="R8" s="23" t="s">
        <v>35</v>
      </c>
    </row>
    <row r="9" spans="1:18" ht="15" customHeight="1">
      <c r="M9" s="12" t="s">
        <v>57</v>
      </c>
      <c r="N9" s="17" t="s">
        <v>58</v>
      </c>
      <c r="O9" s="15" t="s">
        <v>55</v>
      </c>
      <c r="P9" s="16">
        <v>4</v>
      </c>
      <c r="Q9" s="12" t="s">
        <v>31</v>
      </c>
      <c r="R9" s="17" t="s">
        <v>23</v>
      </c>
    </row>
    <row r="10" spans="1:18" ht="15" customHeight="1">
      <c r="M10" s="18" t="s">
        <v>59</v>
      </c>
      <c r="N10" s="23" t="s">
        <v>60</v>
      </c>
      <c r="O10" s="21" t="s">
        <v>55</v>
      </c>
      <c r="P10" s="22">
        <v>2</v>
      </c>
      <c r="Q10" s="18" t="s">
        <v>61</v>
      </c>
      <c r="R10" s="23" t="s">
        <v>35</v>
      </c>
    </row>
  </sheetData>
  <mergeCells count="4">
    <mergeCell ref="A1:R1"/>
    <mergeCell ref="A3:E3"/>
    <mergeCell ref="G3:K3"/>
    <mergeCell ref="M3:R3"/>
  </mergeCells>
  <phoneticPr fontId="2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23"/>
  <sheetViews>
    <sheetView zoomScaleNormal="100" workbookViewId="0">
      <pane ySplit="3" topLeftCell="A4" activePane="bottomLeft" state="frozen"/>
      <selection pane="bottomLeft" sqref="A1:L1"/>
    </sheetView>
  </sheetViews>
  <sheetFormatPr defaultColWidth="8.6640625" defaultRowHeight="14.4"/>
  <cols>
    <col min="1" max="1" width="9" style="10" customWidth="1"/>
    <col min="2" max="2" width="13" style="10" customWidth="1"/>
    <col min="3" max="3" width="8" style="10" customWidth="1"/>
    <col min="4" max="4" width="14" style="10" customWidth="1"/>
    <col min="5" max="5" width="8" style="10" customWidth="1"/>
    <col min="6" max="6" width="14" style="10" customWidth="1"/>
    <col min="7" max="7" width="7" style="10" customWidth="1"/>
    <col min="8" max="8" width="10" style="10" customWidth="1"/>
    <col min="9" max="9" width="14" style="10" customWidth="1"/>
    <col min="10" max="11" width="10" style="10" customWidth="1"/>
    <col min="12" max="12" width="11" style="10" customWidth="1"/>
  </cols>
  <sheetData>
    <row r="1" spans="1:12" ht="27.75" customHeight="1">
      <c r="A1" s="9" t="s">
        <v>62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</row>
    <row r="2" spans="1:12" ht="18" customHeight="1">
      <c r="A2" s="7" t="s">
        <v>63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3" spans="1:12" ht="30" customHeight="1">
      <c r="A3" s="24" t="s">
        <v>64</v>
      </c>
      <c r="B3" s="11" t="s">
        <v>65</v>
      </c>
      <c r="C3" s="11" t="s">
        <v>4</v>
      </c>
      <c r="D3" s="11" t="s">
        <v>66</v>
      </c>
      <c r="E3" s="11" t="s">
        <v>9</v>
      </c>
      <c r="F3" s="11" t="s">
        <v>67</v>
      </c>
      <c r="G3" s="11" t="s">
        <v>16</v>
      </c>
      <c r="H3" s="11" t="s">
        <v>14</v>
      </c>
      <c r="I3" s="11" t="s">
        <v>68</v>
      </c>
      <c r="J3" s="11" t="s">
        <v>69</v>
      </c>
      <c r="K3" s="11" t="s">
        <v>70</v>
      </c>
      <c r="L3" s="11" t="s">
        <v>71</v>
      </c>
    </row>
    <row r="4" spans="1:12" ht="15" customHeight="1">
      <c r="A4" s="18" t="s">
        <v>72</v>
      </c>
      <c r="B4" s="19" t="s">
        <v>73</v>
      </c>
      <c r="C4" s="18" t="s">
        <v>20</v>
      </c>
      <c r="D4" s="25"/>
      <c r="E4" s="18" t="s">
        <v>49</v>
      </c>
      <c r="F4" s="25"/>
      <c r="G4" s="21" t="s">
        <v>55</v>
      </c>
      <c r="H4" s="18" t="s">
        <v>53</v>
      </c>
      <c r="I4" s="25"/>
      <c r="J4" s="20">
        <v>1074</v>
      </c>
      <c r="K4" s="20">
        <v>45</v>
      </c>
      <c r="L4" s="26">
        <f t="shared" ref="L4:L35" si="0">IFERROR(K4/J4*100,0)</f>
        <v>4.1899441340782122</v>
      </c>
    </row>
    <row r="5" spans="1:12" ht="15" customHeight="1">
      <c r="A5" s="12" t="s">
        <v>74</v>
      </c>
      <c r="B5" s="13" t="s">
        <v>73</v>
      </c>
      <c r="C5" s="12" t="s">
        <v>41</v>
      </c>
      <c r="D5" s="25"/>
      <c r="E5" s="12" t="s">
        <v>36</v>
      </c>
      <c r="F5" s="25"/>
      <c r="G5" s="15" t="s">
        <v>30</v>
      </c>
      <c r="H5" s="12" t="s">
        <v>38</v>
      </c>
      <c r="I5" s="25"/>
      <c r="J5" s="14">
        <v>1014</v>
      </c>
      <c r="K5" s="14">
        <v>21</v>
      </c>
      <c r="L5" s="27">
        <f t="shared" si="0"/>
        <v>2.0710059171597637</v>
      </c>
    </row>
    <row r="6" spans="1:12" ht="15" customHeight="1">
      <c r="A6" s="18" t="s">
        <v>75</v>
      </c>
      <c r="B6" s="19" t="s">
        <v>73</v>
      </c>
      <c r="C6" s="18" t="s">
        <v>20</v>
      </c>
      <c r="D6" s="25"/>
      <c r="E6" s="18" t="s">
        <v>36</v>
      </c>
      <c r="F6" s="25"/>
      <c r="G6" s="21" t="s">
        <v>30</v>
      </c>
      <c r="H6" s="18" t="s">
        <v>38</v>
      </c>
      <c r="I6" s="25"/>
      <c r="J6" s="20">
        <v>830</v>
      </c>
      <c r="K6" s="20">
        <v>15</v>
      </c>
      <c r="L6" s="26">
        <f t="shared" si="0"/>
        <v>1.8072289156626504</v>
      </c>
    </row>
    <row r="7" spans="1:12" ht="15" customHeight="1">
      <c r="A7" s="12" t="s">
        <v>76</v>
      </c>
      <c r="B7" s="13" t="s">
        <v>77</v>
      </c>
      <c r="C7" s="12" t="s">
        <v>41</v>
      </c>
      <c r="D7" s="25"/>
      <c r="E7" s="12" t="s">
        <v>24</v>
      </c>
      <c r="F7" s="25"/>
      <c r="G7" s="15" t="s">
        <v>30</v>
      </c>
      <c r="H7" s="12" t="s">
        <v>38</v>
      </c>
      <c r="I7" s="25"/>
      <c r="J7" s="14">
        <v>825</v>
      </c>
      <c r="K7" s="14">
        <v>13</v>
      </c>
      <c r="L7" s="27">
        <f t="shared" si="0"/>
        <v>1.5757575757575759</v>
      </c>
    </row>
    <row r="8" spans="1:12" ht="15" customHeight="1">
      <c r="A8" s="18" t="s">
        <v>78</v>
      </c>
      <c r="B8" s="19" t="s">
        <v>77</v>
      </c>
      <c r="C8" s="18" t="s">
        <v>20</v>
      </c>
      <c r="D8" s="25"/>
      <c r="E8" s="18" t="s">
        <v>24</v>
      </c>
      <c r="F8" s="25"/>
      <c r="G8" s="21" t="s">
        <v>30</v>
      </c>
      <c r="H8" s="18" t="s">
        <v>28</v>
      </c>
      <c r="I8" s="25"/>
      <c r="J8" s="20">
        <v>948</v>
      </c>
      <c r="K8" s="20">
        <v>12</v>
      </c>
      <c r="L8" s="26">
        <f t="shared" si="0"/>
        <v>1.2658227848101267</v>
      </c>
    </row>
    <row r="9" spans="1:12" ht="15" customHeight="1">
      <c r="A9" s="12" t="s">
        <v>79</v>
      </c>
      <c r="B9" s="13" t="s">
        <v>80</v>
      </c>
      <c r="C9" s="12" t="s">
        <v>41</v>
      </c>
      <c r="D9" s="25"/>
      <c r="E9" s="12" t="s">
        <v>36</v>
      </c>
      <c r="F9" s="25"/>
      <c r="G9" s="15" t="s">
        <v>30</v>
      </c>
      <c r="H9" s="12" t="s">
        <v>47</v>
      </c>
      <c r="I9" s="25"/>
      <c r="J9" s="14">
        <v>1127</v>
      </c>
      <c r="K9" s="14">
        <v>23</v>
      </c>
      <c r="L9" s="27">
        <f t="shared" si="0"/>
        <v>2.0408163265306123</v>
      </c>
    </row>
    <row r="10" spans="1:12" ht="15" customHeight="1">
      <c r="A10" s="18" t="s">
        <v>81</v>
      </c>
      <c r="B10" s="19" t="s">
        <v>80</v>
      </c>
      <c r="C10" s="18" t="s">
        <v>20</v>
      </c>
      <c r="D10" s="25"/>
      <c r="E10" s="18" t="s">
        <v>44</v>
      </c>
      <c r="F10" s="25"/>
      <c r="G10" s="21" t="s">
        <v>30</v>
      </c>
      <c r="H10" s="18" t="s">
        <v>47</v>
      </c>
      <c r="I10" s="25"/>
      <c r="J10" s="20">
        <v>832</v>
      </c>
      <c r="K10" s="20">
        <v>10</v>
      </c>
      <c r="L10" s="26">
        <f t="shared" si="0"/>
        <v>1.2019230769230771</v>
      </c>
    </row>
    <row r="11" spans="1:12" ht="15" customHeight="1">
      <c r="A11" s="12" t="s">
        <v>82</v>
      </c>
      <c r="B11" s="13" t="s">
        <v>80</v>
      </c>
      <c r="C11" s="12" t="s">
        <v>32</v>
      </c>
      <c r="D11" s="25"/>
      <c r="E11" s="12" t="s">
        <v>49</v>
      </c>
      <c r="F11" s="25"/>
      <c r="G11" s="15" t="s">
        <v>55</v>
      </c>
      <c r="H11" s="12" t="s">
        <v>57</v>
      </c>
      <c r="I11" s="25"/>
      <c r="J11" s="14">
        <v>1099</v>
      </c>
      <c r="K11" s="14">
        <v>45</v>
      </c>
      <c r="L11" s="27">
        <f t="shared" si="0"/>
        <v>4.0946314831665154</v>
      </c>
    </row>
    <row r="12" spans="1:12" ht="15" customHeight="1">
      <c r="A12" s="18" t="s">
        <v>83</v>
      </c>
      <c r="B12" s="19" t="s">
        <v>84</v>
      </c>
      <c r="C12" s="18" t="s">
        <v>32</v>
      </c>
      <c r="D12" s="25"/>
      <c r="E12" s="18" t="s">
        <v>44</v>
      </c>
      <c r="F12" s="25"/>
      <c r="G12" s="21" t="s">
        <v>30</v>
      </c>
      <c r="H12" s="18" t="s">
        <v>28</v>
      </c>
      <c r="I12" s="25"/>
      <c r="J12" s="20">
        <v>1157</v>
      </c>
      <c r="K12" s="20">
        <v>28</v>
      </c>
      <c r="L12" s="26">
        <f t="shared" si="0"/>
        <v>2.4200518582541055</v>
      </c>
    </row>
    <row r="13" spans="1:12" ht="15" customHeight="1">
      <c r="A13" s="12" t="s">
        <v>85</v>
      </c>
      <c r="B13" s="13" t="s">
        <v>84</v>
      </c>
      <c r="C13" s="12" t="s">
        <v>32</v>
      </c>
      <c r="D13" s="25"/>
      <c r="E13" s="12" t="s">
        <v>49</v>
      </c>
      <c r="F13" s="25"/>
      <c r="G13" s="15" t="s">
        <v>55</v>
      </c>
      <c r="H13" s="12" t="s">
        <v>59</v>
      </c>
      <c r="I13" s="25"/>
      <c r="J13" s="14">
        <v>1029</v>
      </c>
      <c r="K13" s="14">
        <v>43</v>
      </c>
      <c r="L13" s="27">
        <f t="shared" si="0"/>
        <v>4.1788143828960154</v>
      </c>
    </row>
    <row r="14" spans="1:12" ht="15" customHeight="1">
      <c r="A14" s="18" t="s">
        <v>86</v>
      </c>
      <c r="B14" s="19" t="s">
        <v>84</v>
      </c>
      <c r="C14" s="18" t="s">
        <v>32</v>
      </c>
      <c r="D14" s="25"/>
      <c r="E14" s="18" t="s">
        <v>24</v>
      </c>
      <c r="F14" s="25"/>
      <c r="G14" s="21" t="s">
        <v>30</v>
      </c>
      <c r="H14" s="18" t="s">
        <v>38</v>
      </c>
      <c r="I14" s="25"/>
      <c r="J14" s="20">
        <v>884</v>
      </c>
      <c r="K14" s="20">
        <v>21</v>
      </c>
      <c r="L14" s="26">
        <f t="shared" si="0"/>
        <v>2.3755656108597285</v>
      </c>
    </row>
    <row r="15" spans="1:12" ht="15" customHeight="1">
      <c r="A15" s="12" t="s">
        <v>87</v>
      </c>
      <c r="B15" s="13" t="s">
        <v>88</v>
      </c>
      <c r="C15" s="12" t="s">
        <v>32</v>
      </c>
      <c r="D15" s="25"/>
      <c r="E15" s="12" t="s">
        <v>24</v>
      </c>
      <c r="F15" s="25"/>
      <c r="G15" s="15" t="s">
        <v>55</v>
      </c>
      <c r="H15" s="12" t="s">
        <v>53</v>
      </c>
      <c r="I15" s="25"/>
      <c r="J15" s="14">
        <v>1191</v>
      </c>
      <c r="K15" s="14">
        <v>40</v>
      </c>
      <c r="L15" s="27">
        <f t="shared" si="0"/>
        <v>3.3585222502099077</v>
      </c>
    </row>
    <row r="16" spans="1:12" ht="15" customHeight="1">
      <c r="A16" s="18" t="s">
        <v>89</v>
      </c>
      <c r="B16" s="19" t="s">
        <v>88</v>
      </c>
      <c r="C16" s="18" t="s">
        <v>41</v>
      </c>
      <c r="D16" s="25"/>
      <c r="E16" s="18" t="s">
        <v>44</v>
      </c>
      <c r="F16" s="25"/>
      <c r="G16" s="21" t="s">
        <v>30</v>
      </c>
      <c r="H16" s="18" t="s">
        <v>38</v>
      </c>
      <c r="I16" s="25"/>
      <c r="J16" s="20">
        <v>1104</v>
      </c>
      <c r="K16" s="20">
        <v>11</v>
      </c>
      <c r="L16" s="26">
        <f t="shared" si="0"/>
        <v>0.99637681159420277</v>
      </c>
    </row>
    <row r="17" spans="1:12" ht="15" customHeight="1">
      <c r="A17" s="12" t="s">
        <v>90</v>
      </c>
      <c r="B17" s="13" t="s">
        <v>88</v>
      </c>
      <c r="C17" s="12" t="s">
        <v>20</v>
      </c>
      <c r="D17" s="25"/>
      <c r="E17" s="12" t="s">
        <v>24</v>
      </c>
      <c r="F17" s="25"/>
      <c r="G17" s="15" t="s">
        <v>55</v>
      </c>
      <c r="H17" s="12" t="s">
        <v>57</v>
      </c>
      <c r="I17" s="25"/>
      <c r="J17" s="14">
        <v>1156</v>
      </c>
      <c r="K17" s="14">
        <v>34</v>
      </c>
      <c r="L17" s="27">
        <f t="shared" si="0"/>
        <v>2.9411764705882351</v>
      </c>
    </row>
    <row r="18" spans="1:12" ht="15" customHeight="1">
      <c r="A18" s="18" t="s">
        <v>91</v>
      </c>
      <c r="B18" s="19" t="s">
        <v>92</v>
      </c>
      <c r="C18" s="18" t="s">
        <v>20</v>
      </c>
      <c r="D18" s="25"/>
      <c r="E18" s="18" t="s">
        <v>44</v>
      </c>
      <c r="F18" s="25"/>
      <c r="G18" s="21" t="s">
        <v>55</v>
      </c>
      <c r="H18" s="18" t="s">
        <v>59</v>
      </c>
      <c r="I18" s="25"/>
      <c r="J18" s="20">
        <v>1028</v>
      </c>
      <c r="K18" s="20">
        <v>29</v>
      </c>
      <c r="L18" s="26">
        <f t="shared" si="0"/>
        <v>2.8210116731517512</v>
      </c>
    </row>
    <row r="19" spans="1:12" ht="15" customHeight="1">
      <c r="A19" s="12" t="s">
        <v>93</v>
      </c>
      <c r="B19" s="13" t="s">
        <v>92</v>
      </c>
      <c r="C19" s="12" t="s">
        <v>41</v>
      </c>
      <c r="D19" s="25"/>
      <c r="E19" s="12" t="s">
        <v>44</v>
      </c>
      <c r="F19" s="25"/>
      <c r="G19" s="15" t="s">
        <v>30</v>
      </c>
      <c r="H19" s="12" t="s">
        <v>38</v>
      </c>
      <c r="I19" s="25"/>
      <c r="J19" s="14">
        <v>981</v>
      </c>
      <c r="K19" s="14">
        <v>21</v>
      </c>
      <c r="L19" s="27">
        <f t="shared" si="0"/>
        <v>2.1406727828746175</v>
      </c>
    </row>
    <row r="20" spans="1:12" ht="15" customHeight="1">
      <c r="A20" s="18" t="s">
        <v>94</v>
      </c>
      <c r="B20" s="19" t="s">
        <v>95</v>
      </c>
      <c r="C20" s="18" t="s">
        <v>41</v>
      </c>
      <c r="D20" s="25"/>
      <c r="E20" s="18" t="s">
        <v>24</v>
      </c>
      <c r="F20" s="25"/>
      <c r="G20" s="21" t="s">
        <v>30</v>
      </c>
      <c r="H20" s="18" t="s">
        <v>28</v>
      </c>
      <c r="I20" s="25"/>
      <c r="J20" s="20">
        <v>1193</v>
      </c>
      <c r="K20" s="20">
        <v>19</v>
      </c>
      <c r="L20" s="26">
        <f t="shared" si="0"/>
        <v>1.5926236378876781</v>
      </c>
    </row>
    <row r="21" spans="1:12" ht="15" customHeight="1">
      <c r="A21" s="12" t="s">
        <v>96</v>
      </c>
      <c r="B21" s="13" t="s">
        <v>95</v>
      </c>
      <c r="C21" s="12" t="s">
        <v>32</v>
      </c>
      <c r="D21" s="25"/>
      <c r="E21" s="12" t="s">
        <v>49</v>
      </c>
      <c r="F21" s="25"/>
      <c r="G21" s="15" t="s">
        <v>55</v>
      </c>
      <c r="H21" s="12" t="s">
        <v>57</v>
      </c>
      <c r="I21" s="25"/>
      <c r="J21" s="14">
        <v>841</v>
      </c>
      <c r="K21" s="14">
        <v>42</v>
      </c>
      <c r="L21" s="27">
        <f t="shared" si="0"/>
        <v>4.9940546967895365</v>
      </c>
    </row>
    <row r="22" spans="1:12" ht="15" customHeight="1">
      <c r="A22" s="18" t="s">
        <v>97</v>
      </c>
      <c r="B22" s="19" t="s">
        <v>98</v>
      </c>
      <c r="C22" s="18" t="s">
        <v>32</v>
      </c>
      <c r="D22" s="25"/>
      <c r="E22" s="18" t="s">
        <v>49</v>
      </c>
      <c r="F22" s="25"/>
      <c r="G22" s="21" t="s">
        <v>30</v>
      </c>
      <c r="H22" s="18" t="s">
        <v>28</v>
      </c>
      <c r="I22" s="25"/>
      <c r="J22" s="20">
        <v>1020</v>
      </c>
      <c r="K22" s="20">
        <v>34</v>
      </c>
      <c r="L22" s="26">
        <f t="shared" si="0"/>
        <v>3.3333333333333335</v>
      </c>
    </row>
    <row r="23" spans="1:12" ht="15" customHeight="1">
      <c r="A23" s="12" t="s">
        <v>99</v>
      </c>
      <c r="B23" s="13" t="s">
        <v>98</v>
      </c>
      <c r="C23" s="12" t="s">
        <v>32</v>
      </c>
      <c r="D23" s="25"/>
      <c r="E23" s="12" t="s">
        <v>44</v>
      </c>
      <c r="F23" s="25"/>
      <c r="G23" s="15" t="s">
        <v>55</v>
      </c>
      <c r="H23" s="12" t="s">
        <v>57</v>
      </c>
      <c r="I23" s="25"/>
      <c r="J23" s="14">
        <v>918</v>
      </c>
      <c r="K23" s="14">
        <v>30</v>
      </c>
      <c r="L23" s="27">
        <f t="shared" si="0"/>
        <v>3.2679738562091507</v>
      </c>
    </row>
    <row r="24" spans="1:12" ht="15" customHeight="1">
      <c r="A24" s="18" t="s">
        <v>100</v>
      </c>
      <c r="B24" s="19" t="s">
        <v>101</v>
      </c>
      <c r="C24" s="18" t="s">
        <v>20</v>
      </c>
      <c r="D24" s="25"/>
      <c r="E24" s="18" t="s">
        <v>36</v>
      </c>
      <c r="F24" s="25"/>
      <c r="G24" s="21" t="s">
        <v>30</v>
      </c>
      <c r="H24" s="18" t="s">
        <v>47</v>
      </c>
      <c r="I24" s="25"/>
      <c r="J24" s="20">
        <v>919</v>
      </c>
      <c r="K24" s="20">
        <v>23</v>
      </c>
      <c r="L24" s="26">
        <f t="shared" si="0"/>
        <v>2.5027203482045701</v>
      </c>
    </row>
    <row r="25" spans="1:12" ht="15" customHeight="1">
      <c r="A25" s="12" t="s">
        <v>102</v>
      </c>
      <c r="B25" s="13" t="s">
        <v>101</v>
      </c>
      <c r="C25" s="12" t="s">
        <v>20</v>
      </c>
      <c r="D25" s="25"/>
      <c r="E25" s="12" t="s">
        <v>44</v>
      </c>
      <c r="F25" s="25"/>
      <c r="G25" s="15" t="s">
        <v>30</v>
      </c>
      <c r="H25" s="12" t="s">
        <v>28</v>
      </c>
      <c r="I25" s="25"/>
      <c r="J25" s="14">
        <v>1014</v>
      </c>
      <c r="K25" s="14">
        <v>18</v>
      </c>
      <c r="L25" s="27">
        <f t="shared" si="0"/>
        <v>1.7751479289940828</v>
      </c>
    </row>
    <row r="26" spans="1:12" ht="15" customHeight="1">
      <c r="A26" s="18" t="s">
        <v>103</v>
      </c>
      <c r="B26" s="19" t="s">
        <v>104</v>
      </c>
      <c r="C26" s="18" t="s">
        <v>41</v>
      </c>
      <c r="D26" s="25"/>
      <c r="E26" s="18" t="s">
        <v>44</v>
      </c>
      <c r="F26" s="25"/>
      <c r="G26" s="21" t="s">
        <v>55</v>
      </c>
      <c r="H26" s="18" t="s">
        <v>59</v>
      </c>
      <c r="I26" s="25"/>
      <c r="J26" s="20">
        <v>1063</v>
      </c>
      <c r="K26" s="20">
        <v>37</v>
      </c>
      <c r="L26" s="26">
        <f t="shared" si="0"/>
        <v>3.4807149576669802</v>
      </c>
    </row>
    <row r="27" spans="1:12" ht="15" customHeight="1">
      <c r="A27" s="12" t="s">
        <v>105</v>
      </c>
      <c r="B27" s="13" t="s">
        <v>104</v>
      </c>
      <c r="C27" s="12" t="s">
        <v>41</v>
      </c>
      <c r="D27" s="25"/>
      <c r="E27" s="12" t="s">
        <v>24</v>
      </c>
      <c r="F27" s="25"/>
      <c r="G27" s="15" t="s">
        <v>30</v>
      </c>
      <c r="H27" s="12" t="s">
        <v>47</v>
      </c>
      <c r="I27" s="25"/>
      <c r="J27" s="14">
        <v>1086</v>
      </c>
      <c r="K27" s="14">
        <v>17</v>
      </c>
      <c r="L27" s="27">
        <f t="shared" si="0"/>
        <v>1.5653775322283612</v>
      </c>
    </row>
    <row r="28" spans="1:12" ht="15" customHeight="1">
      <c r="A28" s="18" t="s">
        <v>106</v>
      </c>
      <c r="B28" s="19" t="s">
        <v>104</v>
      </c>
      <c r="C28" s="18" t="s">
        <v>32</v>
      </c>
      <c r="D28" s="25"/>
      <c r="E28" s="18" t="s">
        <v>49</v>
      </c>
      <c r="F28" s="25"/>
      <c r="G28" s="21" t="s">
        <v>30</v>
      </c>
      <c r="H28" s="18" t="s">
        <v>28</v>
      </c>
      <c r="I28" s="25"/>
      <c r="J28" s="20">
        <v>1046</v>
      </c>
      <c r="K28" s="20">
        <v>32</v>
      </c>
      <c r="L28" s="26">
        <f t="shared" si="0"/>
        <v>3.0592734225621414</v>
      </c>
    </row>
    <row r="29" spans="1:12" ht="15" customHeight="1">
      <c r="A29" s="12" t="s">
        <v>107</v>
      </c>
      <c r="B29" s="13" t="s">
        <v>108</v>
      </c>
      <c r="C29" s="12" t="s">
        <v>20</v>
      </c>
      <c r="D29" s="25"/>
      <c r="E29" s="12" t="s">
        <v>49</v>
      </c>
      <c r="F29" s="25"/>
      <c r="G29" s="15" t="s">
        <v>30</v>
      </c>
      <c r="H29" s="12" t="s">
        <v>38</v>
      </c>
      <c r="I29" s="25"/>
      <c r="J29" s="14">
        <v>1107</v>
      </c>
      <c r="K29" s="14">
        <v>27</v>
      </c>
      <c r="L29" s="27">
        <f t="shared" si="0"/>
        <v>2.4390243902439024</v>
      </c>
    </row>
    <row r="30" spans="1:12" ht="15" customHeight="1">
      <c r="A30" s="18" t="s">
        <v>109</v>
      </c>
      <c r="B30" s="19" t="s">
        <v>108</v>
      </c>
      <c r="C30" s="18" t="s">
        <v>20</v>
      </c>
      <c r="D30" s="25"/>
      <c r="E30" s="18" t="s">
        <v>24</v>
      </c>
      <c r="F30" s="25"/>
      <c r="G30" s="21" t="s">
        <v>30</v>
      </c>
      <c r="H30" s="18" t="s">
        <v>28</v>
      </c>
      <c r="I30" s="25"/>
      <c r="J30" s="20">
        <v>1074</v>
      </c>
      <c r="K30" s="20">
        <v>22</v>
      </c>
      <c r="L30" s="26">
        <f t="shared" si="0"/>
        <v>2.0484171322160147</v>
      </c>
    </row>
    <row r="31" spans="1:12" ht="15" customHeight="1">
      <c r="A31" s="12" t="s">
        <v>110</v>
      </c>
      <c r="B31" s="13" t="s">
        <v>111</v>
      </c>
      <c r="C31" s="12" t="s">
        <v>20</v>
      </c>
      <c r="D31" s="25"/>
      <c r="E31" s="12" t="s">
        <v>36</v>
      </c>
      <c r="F31" s="25"/>
      <c r="G31" s="15" t="s">
        <v>55</v>
      </c>
      <c r="H31" s="12" t="s">
        <v>53</v>
      </c>
      <c r="I31" s="25"/>
      <c r="J31" s="14">
        <v>1124</v>
      </c>
      <c r="K31" s="14">
        <v>36</v>
      </c>
      <c r="L31" s="27">
        <f t="shared" si="0"/>
        <v>3.2028469750889679</v>
      </c>
    </row>
    <row r="32" spans="1:12" ht="15" customHeight="1">
      <c r="A32" s="18" t="s">
        <v>112</v>
      </c>
      <c r="B32" s="19" t="s">
        <v>111</v>
      </c>
      <c r="C32" s="18" t="s">
        <v>32</v>
      </c>
      <c r="D32" s="25"/>
      <c r="E32" s="18" t="s">
        <v>44</v>
      </c>
      <c r="F32" s="25"/>
      <c r="G32" s="21" t="s">
        <v>55</v>
      </c>
      <c r="H32" s="18" t="s">
        <v>57</v>
      </c>
      <c r="I32" s="25"/>
      <c r="J32" s="20">
        <v>862</v>
      </c>
      <c r="K32" s="20">
        <v>34</v>
      </c>
      <c r="L32" s="26">
        <f t="shared" si="0"/>
        <v>3.9443155452436192</v>
      </c>
    </row>
    <row r="33" spans="1:12" ht="15" customHeight="1">
      <c r="A33" s="12" t="s">
        <v>113</v>
      </c>
      <c r="B33" s="13" t="s">
        <v>114</v>
      </c>
      <c r="C33" s="12" t="s">
        <v>32</v>
      </c>
      <c r="D33" s="25"/>
      <c r="E33" s="12" t="s">
        <v>49</v>
      </c>
      <c r="F33" s="25"/>
      <c r="G33" s="15" t="s">
        <v>30</v>
      </c>
      <c r="H33" s="12" t="s">
        <v>28</v>
      </c>
      <c r="I33" s="25"/>
      <c r="J33" s="14">
        <v>852</v>
      </c>
      <c r="K33" s="14">
        <v>29</v>
      </c>
      <c r="L33" s="27">
        <f t="shared" si="0"/>
        <v>3.403755868544601</v>
      </c>
    </row>
    <row r="34" spans="1:12" ht="15" customHeight="1">
      <c r="A34" s="18" t="s">
        <v>115</v>
      </c>
      <c r="B34" s="19" t="s">
        <v>114</v>
      </c>
      <c r="C34" s="18" t="s">
        <v>41</v>
      </c>
      <c r="D34" s="25"/>
      <c r="E34" s="18" t="s">
        <v>44</v>
      </c>
      <c r="F34" s="25"/>
      <c r="G34" s="21" t="s">
        <v>55</v>
      </c>
      <c r="H34" s="18" t="s">
        <v>57</v>
      </c>
      <c r="I34" s="25"/>
      <c r="J34" s="20">
        <v>1154</v>
      </c>
      <c r="K34" s="20">
        <v>35</v>
      </c>
      <c r="L34" s="26">
        <f t="shared" si="0"/>
        <v>3.0329289428076258</v>
      </c>
    </row>
    <row r="35" spans="1:12" ht="15" customHeight="1">
      <c r="A35" s="12" t="s">
        <v>116</v>
      </c>
      <c r="B35" s="13" t="s">
        <v>114</v>
      </c>
      <c r="C35" s="12" t="s">
        <v>41</v>
      </c>
      <c r="D35" s="25"/>
      <c r="E35" s="12" t="s">
        <v>44</v>
      </c>
      <c r="F35" s="25"/>
      <c r="G35" s="15" t="s">
        <v>30</v>
      </c>
      <c r="H35" s="12" t="s">
        <v>47</v>
      </c>
      <c r="I35" s="25"/>
      <c r="J35" s="14">
        <v>813</v>
      </c>
      <c r="K35" s="14">
        <v>15</v>
      </c>
      <c r="L35" s="27">
        <f t="shared" si="0"/>
        <v>1.8450184501845017</v>
      </c>
    </row>
    <row r="36" spans="1:12" ht="15" customHeight="1">
      <c r="A36" s="18" t="s">
        <v>117</v>
      </c>
      <c r="B36" s="19" t="s">
        <v>118</v>
      </c>
      <c r="C36" s="18" t="s">
        <v>41</v>
      </c>
      <c r="D36" s="25"/>
      <c r="E36" s="18" t="s">
        <v>24</v>
      </c>
      <c r="F36" s="25"/>
      <c r="G36" s="21" t="s">
        <v>55</v>
      </c>
      <c r="H36" s="18" t="s">
        <v>57</v>
      </c>
      <c r="I36" s="25"/>
      <c r="J36" s="20">
        <v>1065</v>
      </c>
      <c r="K36" s="20">
        <v>30</v>
      </c>
      <c r="L36" s="26">
        <f t="shared" ref="L36:L67" si="1">IFERROR(K36/J36*100,0)</f>
        <v>2.8169014084507045</v>
      </c>
    </row>
    <row r="37" spans="1:12" ht="15" customHeight="1">
      <c r="A37" s="12" t="s">
        <v>119</v>
      </c>
      <c r="B37" s="13" t="s">
        <v>118</v>
      </c>
      <c r="C37" s="12" t="s">
        <v>20</v>
      </c>
      <c r="D37" s="25"/>
      <c r="E37" s="12" t="s">
        <v>44</v>
      </c>
      <c r="F37" s="25"/>
      <c r="G37" s="15" t="s">
        <v>55</v>
      </c>
      <c r="H37" s="12" t="s">
        <v>59</v>
      </c>
      <c r="I37" s="25"/>
      <c r="J37" s="14">
        <v>1188</v>
      </c>
      <c r="K37" s="14">
        <v>37</v>
      </c>
      <c r="L37" s="27">
        <f t="shared" si="1"/>
        <v>3.1144781144781146</v>
      </c>
    </row>
    <row r="38" spans="1:12" ht="15" customHeight="1">
      <c r="A38" s="18" t="s">
        <v>120</v>
      </c>
      <c r="B38" s="19" t="s">
        <v>118</v>
      </c>
      <c r="C38" s="18" t="s">
        <v>20</v>
      </c>
      <c r="D38" s="25"/>
      <c r="E38" s="18" t="s">
        <v>36</v>
      </c>
      <c r="F38" s="25"/>
      <c r="G38" s="21" t="s">
        <v>55</v>
      </c>
      <c r="H38" s="18" t="s">
        <v>59</v>
      </c>
      <c r="I38" s="25"/>
      <c r="J38" s="20">
        <v>916</v>
      </c>
      <c r="K38" s="20">
        <v>28</v>
      </c>
      <c r="L38" s="26">
        <f t="shared" si="1"/>
        <v>3.0567685589519651</v>
      </c>
    </row>
    <row r="39" spans="1:12" ht="15" customHeight="1">
      <c r="A39" s="12" t="s">
        <v>121</v>
      </c>
      <c r="B39" s="13" t="s">
        <v>122</v>
      </c>
      <c r="C39" s="12" t="s">
        <v>20</v>
      </c>
      <c r="D39" s="25"/>
      <c r="E39" s="12" t="s">
        <v>44</v>
      </c>
      <c r="F39" s="25"/>
      <c r="G39" s="15" t="s">
        <v>30</v>
      </c>
      <c r="H39" s="12" t="s">
        <v>28</v>
      </c>
      <c r="I39" s="25"/>
      <c r="J39" s="14">
        <v>1154</v>
      </c>
      <c r="K39" s="14">
        <v>25</v>
      </c>
      <c r="L39" s="27">
        <f t="shared" si="1"/>
        <v>2.1663778162911611</v>
      </c>
    </row>
    <row r="40" spans="1:12" ht="15" customHeight="1">
      <c r="A40" s="18" t="s">
        <v>123</v>
      </c>
      <c r="B40" s="19" t="s">
        <v>122</v>
      </c>
      <c r="C40" s="18" t="s">
        <v>41</v>
      </c>
      <c r="D40" s="25"/>
      <c r="E40" s="18" t="s">
        <v>44</v>
      </c>
      <c r="F40" s="25"/>
      <c r="G40" s="21" t="s">
        <v>30</v>
      </c>
      <c r="H40" s="18" t="s">
        <v>47</v>
      </c>
      <c r="I40" s="25"/>
      <c r="J40" s="20">
        <v>978</v>
      </c>
      <c r="K40" s="20">
        <v>21</v>
      </c>
      <c r="L40" s="26">
        <f t="shared" si="1"/>
        <v>2.147239263803681</v>
      </c>
    </row>
    <row r="41" spans="1:12" ht="15" customHeight="1">
      <c r="A41" s="12" t="s">
        <v>124</v>
      </c>
      <c r="B41" s="13" t="s">
        <v>125</v>
      </c>
      <c r="C41" s="12" t="s">
        <v>20</v>
      </c>
      <c r="D41" s="25"/>
      <c r="E41" s="12" t="s">
        <v>36</v>
      </c>
      <c r="F41" s="25"/>
      <c r="G41" s="15" t="s">
        <v>30</v>
      </c>
      <c r="H41" s="12" t="s">
        <v>38</v>
      </c>
      <c r="I41" s="25"/>
      <c r="J41" s="14">
        <v>904</v>
      </c>
      <c r="K41" s="14">
        <v>15</v>
      </c>
      <c r="L41" s="27">
        <f t="shared" si="1"/>
        <v>1.6592920353982303</v>
      </c>
    </row>
    <row r="42" spans="1:12" ht="15" customHeight="1">
      <c r="A42" s="18" t="s">
        <v>126</v>
      </c>
      <c r="B42" s="19" t="s">
        <v>125</v>
      </c>
      <c r="C42" s="18" t="s">
        <v>32</v>
      </c>
      <c r="D42" s="25"/>
      <c r="E42" s="18" t="s">
        <v>24</v>
      </c>
      <c r="F42" s="25"/>
      <c r="G42" s="21" t="s">
        <v>30</v>
      </c>
      <c r="H42" s="18" t="s">
        <v>47</v>
      </c>
      <c r="I42" s="25"/>
      <c r="J42" s="20">
        <v>976</v>
      </c>
      <c r="K42" s="20">
        <v>23</v>
      </c>
      <c r="L42" s="26">
        <f t="shared" si="1"/>
        <v>2.3565573770491803</v>
      </c>
    </row>
    <row r="43" spans="1:12" ht="15" customHeight="1">
      <c r="A43" s="12" t="s">
        <v>127</v>
      </c>
      <c r="B43" s="13" t="s">
        <v>128</v>
      </c>
      <c r="C43" s="12" t="s">
        <v>32</v>
      </c>
      <c r="D43" s="25"/>
      <c r="E43" s="12" t="s">
        <v>36</v>
      </c>
      <c r="F43" s="25"/>
      <c r="G43" s="15" t="s">
        <v>30</v>
      </c>
      <c r="H43" s="12" t="s">
        <v>28</v>
      </c>
      <c r="I43" s="25"/>
      <c r="J43" s="14">
        <v>1022</v>
      </c>
      <c r="K43" s="14">
        <v>22</v>
      </c>
      <c r="L43" s="27">
        <f t="shared" si="1"/>
        <v>2.152641878669276</v>
      </c>
    </row>
    <row r="44" spans="1:12" ht="15" customHeight="1">
      <c r="A44" s="18" t="s">
        <v>129</v>
      </c>
      <c r="B44" s="19" t="s">
        <v>128</v>
      </c>
      <c r="C44" s="18" t="s">
        <v>41</v>
      </c>
      <c r="D44" s="25"/>
      <c r="E44" s="18" t="s">
        <v>44</v>
      </c>
      <c r="F44" s="25"/>
      <c r="G44" s="21" t="s">
        <v>30</v>
      </c>
      <c r="H44" s="18" t="s">
        <v>47</v>
      </c>
      <c r="I44" s="25"/>
      <c r="J44" s="20">
        <v>1002</v>
      </c>
      <c r="K44" s="20">
        <v>11</v>
      </c>
      <c r="L44" s="26">
        <f t="shared" si="1"/>
        <v>1.097804391217565</v>
      </c>
    </row>
    <row r="45" spans="1:12" ht="15" customHeight="1">
      <c r="A45" s="12" t="s">
        <v>130</v>
      </c>
      <c r="B45" s="13" t="s">
        <v>131</v>
      </c>
      <c r="C45" s="12" t="s">
        <v>41</v>
      </c>
      <c r="D45" s="25"/>
      <c r="E45" s="12" t="s">
        <v>36</v>
      </c>
      <c r="F45" s="25"/>
      <c r="G45" s="15" t="s">
        <v>30</v>
      </c>
      <c r="H45" s="12" t="s">
        <v>28</v>
      </c>
      <c r="I45" s="25"/>
      <c r="J45" s="14">
        <v>814</v>
      </c>
      <c r="K45" s="14">
        <v>15</v>
      </c>
      <c r="L45" s="27">
        <f t="shared" si="1"/>
        <v>1.8427518427518428</v>
      </c>
    </row>
    <row r="46" spans="1:12" ht="15" customHeight="1">
      <c r="A46" s="18" t="s">
        <v>132</v>
      </c>
      <c r="B46" s="19" t="s">
        <v>131</v>
      </c>
      <c r="C46" s="18" t="s">
        <v>20</v>
      </c>
      <c r="D46" s="25"/>
      <c r="E46" s="18" t="s">
        <v>49</v>
      </c>
      <c r="F46" s="25"/>
      <c r="G46" s="21" t="s">
        <v>55</v>
      </c>
      <c r="H46" s="18" t="s">
        <v>53</v>
      </c>
      <c r="I46" s="25"/>
      <c r="J46" s="20">
        <v>1113</v>
      </c>
      <c r="K46" s="20">
        <v>48</v>
      </c>
      <c r="L46" s="26">
        <f t="shared" si="1"/>
        <v>4.3126684636118604</v>
      </c>
    </row>
    <row r="47" spans="1:12" ht="15" customHeight="1">
      <c r="A47" s="12" t="s">
        <v>133</v>
      </c>
      <c r="B47" s="13" t="s">
        <v>134</v>
      </c>
      <c r="C47" s="12" t="s">
        <v>20</v>
      </c>
      <c r="D47" s="25"/>
      <c r="E47" s="12" t="s">
        <v>36</v>
      </c>
      <c r="F47" s="25"/>
      <c r="G47" s="15" t="s">
        <v>30</v>
      </c>
      <c r="H47" s="12" t="s">
        <v>47</v>
      </c>
      <c r="I47" s="25"/>
      <c r="J47" s="14">
        <v>1132</v>
      </c>
      <c r="K47" s="14">
        <v>9</v>
      </c>
      <c r="L47" s="27">
        <f t="shared" si="1"/>
        <v>0.79505300353356878</v>
      </c>
    </row>
    <row r="48" spans="1:12" ht="15" customHeight="1">
      <c r="A48" s="18" t="s">
        <v>135</v>
      </c>
      <c r="B48" s="19" t="s">
        <v>134</v>
      </c>
      <c r="C48" s="18" t="s">
        <v>20</v>
      </c>
      <c r="D48" s="25"/>
      <c r="E48" s="18" t="s">
        <v>36</v>
      </c>
      <c r="F48" s="25"/>
      <c r="G48" s="21" t="s">
        <v>30</v>
      </c>
      <c r="H48" s="18" t="s">
        <v>28</v>
      </c>
      <c r="I48" s="25"/>
      <c r="J48" s="20">
        <v>908</v>
      </c>
      <c r="K48" s="20">
        <v>18</v>
      </c>
      <c r="L48" s="26">
        <f t="shared" si="1"/>
        <v>1.9823788546255507</v>
      </c>
    </row>
    <row r="49" spans="1:12" ht="15" customHeight="1">
      <c r="A49" s="12" t="s">
        <v>136</v>
      </c>
      <c r="B49" s="13" t="s">
        <v>134</v>
      </c>
      <c r="C49" s="12" t="s">
        <v>41</v>
      </c>
      <c r="D49" s="25"/>
      <c r="E49" s="12" t="s">
        <v>36</v>
      </c>
      <c r="F49" s="25"/>
      <c r="G49" s="15" t="s">
        <v>55</v>
      </c>
      <c r="H49" s="12" t="s">
        <v>57</v>
      </c>
      <c r="I49" s="25"/>
      <c r="J49" s="14">
        <v>932</v>
      </c>
      <c r="K49" s="14">
        <v>28</v>
      </c>
      <c r="L49" s="27">
        <f t="shared" si="1"/>
        <v>3.0042918454935621</v>
      </c>
    </row>
    <row r="50" spans="1:12" ht="15" customHeight="1">
      <c r="A50" s="18" t="s">
        <v>137</v>
      </c>
      <c r="B50" s="19" t="s">
        <v>138</v>
      </c>
      <c r="C50" s="18" t="s">
        <v>20</v>
      </c>
      <c r="D50" s="25"/>
      <c r="E50" s="18" t="s">
        <v>24</v>
      </c>
      <c r="F50" s="25"/>
      <c r="G50" s="21" t="s">
        <v>55</v>
      </c>
      <c r="H50" s="18" t="s">
        <v>57</v>
      </c>
      <c r="I50" s="25"/>
      <c r="J50" s="20">
        <v>1034</v>
      </c>
      <c r="K50" s="20">
        <v>27</v>
      </c>
      <c r="L50" s="26">
        <f t="shared" si="1"/>
        <v>2.611218568665377</v>
      </c>
    </row>
    <row r="51" spans="1:12" ht="15" customHeight="1">
      <c r="A51" s="12" t="s">
        <v>139</v>
      </c>
      <c r="B51" s="13" t="s">
        <v>138</v>
      </c>
      <c r="C51" s="12" t="s">
        <v>41</v>
      </c>
      <c r="D51" s="25"/>
      <c r="E51" s="12" t="s">
        <v>49</v>
      </c>
      <c r="F51" s="25"/>
      <c r="G51" s="15" t="s">
        <v>55</v>
      </c>
      <c r="H51" s="12" t="s">
        <v>59</v>
      </c>
      <c r="I51" s="25"/>
      <c r="J51" s="14">
        <v>866</v>
      </c>
      <c r="K51" s="14">
        <v>27</v>
      </c>
      <c r="L51" s="27">
        <f t="shared" si="1"/>
        <v>3.1177829099307162</v>
      </c>
    </row>
    <row r="52" spans="1:12" ht="15" customHeight="1">
      <c r="A52" s="18" t="s">
        <v>140</v>
      </c>
      <c r="B52" s="19" t="s">
        <v>138</v>
      </c>
      <c r="C52" s="18" t="s">
        <v>41</v>
      </c>
      <c r="D52" s="25"/>
      <c r="E52" s="18" t="s">
        <v>36</v>
      </c>
      <c r="F52" s="25"/>
      <c r="G52" s="21" t="s">
        <v>30</v>
      </c>
      <c r="H52" s="18" t="s">
        <v>28</v>
      </c>
      <c r="I52" s="25"/>
      <c r="J52" s="20">
        <v>1025</v>
      </c>
      <c r="K52" s="20">
        <v>19</v>
      </c>
      <c r="L52" s="26">
        <f t="shared" si="1"/>
        <v>1.8536585365853657</v>
      </c>
    </row>
    <row r="53" spans="1:12" ht="15" customHeight="1">
      <c r="A53" s="12" t="s">
        <v>141</v>
      </c>
      <c r="B53" s="13" t="s">
        <v>142</v>
      </c>
      <c r="C53" s="12" t="s">
        <v>20</v>
      </c>
      <c r="D53" s="25"/>
      <c r="E53" s="12" t="s">
        <v>36</v>
      </c>
      <c r="F53" s="25"/>
      <c r="G53" s="15" t="s">
        <v>30</v>
      </c>
      <c r="H53" s="12" t="s">
        <v>47</v>
      </c>
      <c r="I53" s="25"/>
      <c r="J53" s="14">
        <v>861</v>
      </c>
      <c r="K53" s="14">
        <v>10</v>
      </c>
      <c r="L53" s="27">
        <f t="shared" si="1"/>
        <v>1.1614401858304297</v>
      </c>
    </row>
    <row r="54" spans="1:12" ht="15" customHeight="1">
      <c r="A54" s="18" t="s">
        <v>143</v>
      </c>
      <c r="B54" s="19" t="s">
        <v>142</v>
      </c>
      <c r="C54" s="18" t="s">
        <v>41</v>
      </c>
      <c r="D54" s="25"/>
      <c r="E54" s="18" t="s">
        <v>24</v>
      </c>
      <c r="F54" s="25"/>
      <c r="G54" s="21" t="s">
        <v>30</v>
      </c>
      <c r="H54" s="18" t="s">
        <v>47</v>
      </c>
      <c r="I54" s="25"/>
      <c r="J54" s="20">
        <v>1071</v>
      </c>
      <c r="K54" s="20">
        <v>12</v>
      </c>
      <c r="L54" s="26">
        <f t="shared" si="1"/>
        <v>1.1204481792717087</v>
      </c>
    </row>
    <row r="55" spans="1:12" ht="15" customHeight="1">
      <c r="A55" s="12" t="s">
        <v>144</v>
      </c>
      <c r="B55" s="13" t="s">
        <v>145</v>
      </c>
      <c r="C55" s="12" t="s">
        <v>41</v>
      </c>
      <c r="D55" s="25"/>
      <c r="E55" s="12" t="s">
        <v>24</v>
      </c>
      <c r="F55" s="25"/>
      <c r="G55" s="15" t="s">
        <v>30</v>
      </c>
      <c r="H55" s="12" t="s">
        <v>38</v>
      </c>
      <c r="I55" s="25"/>
      <c r="J55" s="14">
        <v>821</v>
      </c>
      <c r="K55" s="14">
        <v>12</v>
      </c>
      <c r="L55" s="27">
        <f t="shared" si="1"/>
        <v>1.4616321559074299</v>
      </c>
    </row>
    <row r="56" spans="1:12" ht="15" customHeight="1">
      <c r="A56" s="18" t="s">
        <v>146</v>
      </c>
      <c r="B56" s="19" t="s">
        <v>145</v>
      </c>
      <c r="C56" s="18" t="s">
        <v>20</v>
      </c>
      <c r="D56" s="25"/>
      <c r="E56" s="18" t="s">
        <v>49</v>
      </c>
      <c r="F56" s="25"/>
      <c r="G56" s="21" t="s">
        <v>30</v>
      </c>
      <c r="H56" s="18" t="s">
        <v>28</v>
      </c>
      <c r="I56" s="25"/>
      <c r="J56" s="20">
        <v>1026</v>
      </c>
      <c r="K56" s="20">
        <v>21</v>
      </c>
      <c r="L56" s="26">
        <f t="shared" si="1"/>
        <v>2.0467836257309941</v>
      </c>
    </row>
    <row r="57" spans="1:12" ht="15" customHeight="1">
      <c r="A57" s="12" t="s">
        <v>147</v>
      </c>
      <c r="B57" s="13" t="s">
        <v>148</v>
      </c>
      <c r="C57" s="12" t="s">
        <v>41</v>
      </c>
      <c r="D57" s="25"/>
      <c r="E57" s="12" t="s">
        <v>44</v>
      </c>
      <c r="F57" s="25"/>
      <c r="G57" s="15" t="s">
        <v>30</v>
      </c>
      <c r="H57" s="12" t="s">
        <v>47</v>
      </c>
      <c r="I57" s="25"/>
      <c r="J57" s="14">
        <v>1044</v>
      </c>
      <c r="K57" s="14">
        <v>28</v>
      </c>
      <c r="L57" s="27">
        <f t="shared" si="1"/>
        <v>2.6819923371647509</v>
      </c>
    </row>
    <row r="58" spans="1:12" ht="15" customHeight="1">
      <c r="A58" s="18" t="s">
        <v>149</v>
      </c>
      <c r="B58" s="19" t="s">
        <v>148</v>
      </c>
      <c r="C58" s="18" t="s">
        <v>41</v>
      </c>
      <c r="D58" s="25"/>
      <c r="E58" s="18" t="s">
        <v>36</v>
      </c>
      <c r="F58" s="25"/>
      <c r="G58" s="21" t="s">
        <v>55</v>
      </c>
      <c r="H58" s="18" t="s">
        <v>57</v>
      </c>
      <c r="I58" s="25"/>
      <c r="J58" s="20">
        <v>1086</v>
      </c>
      <c r="K58" s="20">
        <v>34</v>
      </c>
      <c r="L58" s="26">
        <f t="shared" si="1"/>
        <v>3.1307550644567224</v>
      </c>
    </row>
    <row r="59" spans="1:12" ht="15" customHeight="1">
      <c r="A59" s="12" t="s">
        <v>150</v>
      </c>
      <c r="B59" s="13" t="s">
        <v>151</v>
      </c>
      <c r="C59" s="12" t="s">
        <v>20</v>
      </c>
      <c r="D59" s="25"/>
      <c r="E59" s="12" t="s">
        <v>49</v>
      </c>
      <c r="F59" s="25"/>
      <c r="G59" s="15" t="s">
        <v>30</v>
      </c>
      <c r="H59" s="12" t="s">
        <v>38</v>
      </c>
      <c r="I59" s="25"/>
      <c r="J59" s="14">
        <v>961</v>
      </c>
      <c r="K59" s="14">
        <v>23</v>
      </c>
      <c r="L59" s="27">
        <f t="shared" si="1"/>
        <v>2.3933402705515086</v>
      </c>
    </row>
    <row r="60" spans="1:12" ht="15" customHeight="1">
      <c r="A60" s="18" t="s">
        <v>152</v>
      </c>
      <c r="B60" s="19" t="s">
        <v>151</v>
      </c>
      <c r="C60" s="18" t="s">
        <v>20</v>
      </c>
      <c r="D60" s="25"/>
      <c r="E60" s="18" t="s">
        <v>36</v>
      </c>
      <c r="F60" s="25"/>
      <c r="G60" s="21" t="s">
        <v>30</v>
      </c>
      <c r="H60" s="18" t="s">
        <v>28</v>
      </c>
      <c r="I60" s="25"/>
      <c r="J60" s="20">
        <v>1142</v>
      </c>
      <c r="K60" s="20">
        <v>19</v>
      </c>
      <c r="L60" s="26">
        <f t="shared" si="1"/>
        <v>1.6637478108581436</v>
      </c>
    </row>
    <row r="61" spans="1:12" ht="15" customHeight="1">
      <c r="A61" s="12" t="s">
        <v>153</v>
      </c>
      <c r="B61" s="13" t="s">
        <v>151</v>
      </c>
      <c r="C61" s="12" t="s">
        <v>20</v>
      </c>
      <c r="D61" s="25"/>
      <c r="E61" s="12" t="s">
        <v>44</v>
      </c>
      <c r="F61" s="25"/>
      <c r="G61" s="15" t="s">
        <v>30</v>
      </c>
      <c r="H61" s="12" t="s">
        <v>28</v>
      </c>
      <c r="I61" s="25"/>
      <c r="J61" s="14">
        <v>1039</v>
      </c>
      <c r="K61" s="14">
        <v>20</v>
      </c>
      <c r="L61" s="27">
        <f t="shared" si="1"/>
        <v>1.9249278152069296</v>
      </c>
    </row>
    <row r="62" spans="1:12" ht="15" customHeight="1">
      <c r="A62" s="18" t="s">
        <v>154</v>
      </c>
      <c r="B62" s="19" t="s">
        <v>155</v>
      </c>
      <c r="C62" s="18" t="s">
        <v>41</v>
      </c>
      <c r="D62" s="25"/>
      <c r="E62" s="18" t="s">
        <v>24</v>
      </c>
      <c r="F62" s="25"/>
      <c r="G62" s="21" t="s">
        <v>30</v>
      </c>
      <c r="H62" s="18" t="s">
        <v>38</v>
      </c>
      <c r="I62" s="25"/>
      <c r="J62" s="20">
        <v>883</v>
      </c>
      <c r="K62" s="20">
        <v>22</v>
      </c>
      <c r="L62" s="26">
        <f t="shared" si="1"/>
        <v>2.491506228765572</v>
      </c>
    </row>
    <row r="63" spans="1:12" ht="15" customHeight="1">
      <c r="A63" s="12" t="s">
        <v>156</v>
      </c>
      <c r="B63" s="13" t="s">
        <v>155</v>
      </c>
      <c r="C63" s="12" t="s">
        <v>20</v>
      </c>
      <c r="D63" s="25"/>
      <c r="E63" s="12" t="s">
        <v>49</v>
      </c>
      <c r="F63" s="25"/>
      <c r="G63" s="15" t="s">
        <v>55</v>
      </c>
      <c r="H63" s="12" t="s">
        <v>57</v>
      </c>
      <c r="I63" s="25"/>
      <c r="J63" s="14">
        <v>973</v>
      </c>
      <c r="K63" s="14">
        <v>36</v>
      </c>
      <c r="L63" s="27">
        <f t="shared" si="1"/>
        <v>3.6998972250770814</v>
      </c>
    </row>
    <row r="64" spans="1:12" ht="15" customHeight="1">
      <c r="A64" s="18" t="s">
        <v>157</v>
      </c>
      <c r="B64" s="19" t="s">
        <v>158</v>
      </c>
      <c r="C64" s="18" t="s">
        <v>20</v>
      </c>
      <c r="D64" s="25"/>
      <c r="E64" s="18" t="s">
        <v>44</v>
      </c>
      <c r="F64" s="25"/>
      <c r="G64" s="21" t="s">
        <v>30</v>
      </c>
      <c r="H64" s="18" t="s">
        <v>47</v>
      </c>
      <c r="I64" s="25"/>
      <c r="J64" s="20">
        <v>987</v>
      </c>
      <c r="K64" s="20">
        <v>22</v>
      </c>
      <c r="L64" s="26">
        <f t="shared" si="1"/>
        <v>2.2289766970618032</v>
      </c>
    </row>
    <row r="65" spans="1:12" ht="15" customHeight="1">
      <c r="A65" s="12" t="s">
        <v>159</v>
      </c>
      <c r="B65" s="13" t="s">
        <v>158</v>
      </c>
      <c r="C65" s="12" t="s">
        <v>32</v>
      </c>
      <c r="D65" s="25"/>
      <c r="E65" s="12" t="s">
        <v>24</v>
      </c>
      <c r="F65" s="25"/>
      <c r="G65" s="15" t="s">
        <v>30</v>
      </c>
      <c r="H65" s="12" t="s">
        <v>47</v>
      </c>
      <c r="I65" s="25"/>
      <c r="J65" s="14">
        <v>1119</v>
      </c>
      <c r="K65" s="14">
        <v>27</v>
      </c>
      <c r="L65" s="27">
        <f t="shared" si="1"/>
        <v>2.4128686327077746</v>
      </c>
    </row>
    <row r="66" spans="1:12" ht="15" customHeight="1">
      <c r="A66" s="18" t="s">
        <v>160</v>
      </c>
      <c r="B66" s="19" t="s">
        <v>158</v>
      </c>
      <c r="C66" s="18" t="s">
        <v>32</v>
      </c>
      <c r="D66" s="25"/>
      <c r="E66" s="18" t="s">
        <v>24</v>
      </c>
      <c r="F66" s="25"/>
      <c r="G66" s="21" t="s">
        <v>30</v>
      </c>
      <c r="H66" s="18" t="s">
        <v>28</v>
      </c>
      <c r="I66" s="25"/>
      <c r="J66" s="20">
        <v>853</v>
      </c>
      <c r="K66" s="20">
        <v>22</v>
      </c>
      <c r="L66" s="26">
        <f t="shared" si="1"/>
        <v>2.5791324736225087</v>
      </c>
    </row>
    <row r="67" spans="1:12" ht="15" customHeight="1">
      <c r="A67" s="12" t="s">
        <v>161</v>
      </c>
      <c r="B67" s="13" t="s">
        <v>162</v>
      </c>
      <c r="C67" s="12" t="s">
        <v>32</v>
      </c>
      <c r="D67" s="25"/>
      <c r="E67" s="12" t="s">
        <v>36</v>
      </c>
      <c r="F67" s="25"/>
      <c r="G67" s="15" t="s">
        <v>55</v>
      </c>
      <c r="H67" s="12" t="s">
        <v>59</v>
      </c>
      <c r="I67" s="25"/>
      <c r="J67" s="14">
        <v>932</v>
      </c>
      <c r="K67" s="14">
        <v>35</v>
      </c>
      <c r="L67" s="27">
        <f t="shared" si="1"/>
        <v>3.755364806866953</v>
      </c>
    </row>
    <row r="68" spans="1:12" ht="15" customHeight="1">
      <c r="A68" s="18" t="s">
        <v>163</v>
      </c>
      <c r="B68" s="19" t="s">
        <v>162</v>
      </c>
      <c r="C68" s="18" t="s">
        <v>32</v>
      </c>
      <c r="D68" s="25"/>
      <c r="E68" s="18" t="s">
        <v>36</v>
      </c>
      <c r="F68" s="25"/>
      <c r="G68" s="21" t="s">
        <v>30</v>
      </c>
      <c r="H68" s="18" t="s">
        <v>47</v>
      </c>
      <c r="I68" s="25"/>
      <c r="J68" s="20">
        <v>1092</v>
      </c>
      <c r="K68" s="20">
        <v>22</v>
      </c>
      <c r="L68" s="26">
        <f t="shared" ref="L68:L99" si="2">IFERROR(K68/J68*100,0)</f>
        <v>2.0146520146520146</v>
      </c>
    </row>
    <row r="69" spans="1:12" ht="15" customHeight="1">
      <c r="A69" s="12" t="s">
        <v>164</v>
      </c>
      <c r="B69" s="13" t="s">
        <v>165</v>
      </c>
      <c r="C69" s="12" t="s">
        <v>20</v>
      </c>
      <c r="D69" s="25"/>
      <c r="E69" s="12" t="s">
        <v>36</v>
      </c>
      <c r="F69" s="25"/>
      <c r="G69" s="15" t="s">
        <v>30</v>
      </c>
      <c r="H69" s="12" t="s">
        <v>28</v>
      </c>
      <c r="I69" s="25"/>
      <c r="J69" s="14">
        <v>937</v>
      </c>
      <c r="K69" s="14">
        <v>16</v>
      </c>
      <c r="L69" s="27">
        <f t="shared" si="2"/>
        <v>1.7075773745997866</v>
      </c>
    </row>
    <row r="70" spans="1:12" ht="15" customHeight="1">
      <c r="A70" s="18" t="s">
        <v>166</v>
      </c>
      <c r="B70" s="19" t="s">
        <v>165</v>
      </c>
      <c r="C70" s="18" t="s">
        <v>20</v>
      </c>
      <c r="D70" s="25"/>
      <c r="E70" s="18" t="s">
        <v>24</v>
      </c>
      <c r="F70" s="25"/>
      <c r="G70" s="21" t="s">
        <v>55</v>
      </c>
      <c r="H70" s="18" t="s">
        <v>53</v>
      </c>
      <c r="I70" s="25"/>
      <c r="J70" s="20">
        <v>1111</v>
      </c>
      <c r="K70" s="20">
        <v>34</v>
      </c>
      <c r="L70" s="26">
        <f t="shared" si="2"/>
        <v>3.0603060306030603</v>
      </c>
    </row>
    <row r="71" spans="1:12" ht="15" customHeight="1">
      <c r="A71" s="12" t="s">
        <v>167</v>
      </c>
      <c r="B71" s="13" t="s">
        <v>165</v>
      </c>
      <c r="C71" s="12" t="s">
        <v>20</v>
      </c>
      <c r="D71" s="25"/>
      <c r="E71" s="12" t="s">
        <v>49</v>
      </c>
      <c r="F71" s="25"/>
      <c r="G71" s="15" t="s">
        <v>30</v>
      </c>
      <c r="H71" s="12" t="s">
        <v>47</v>
      </c>
      <c r="I71" s="25"/>
      <c r="J71" s="14">
        <v>1013</v>
      </c>
      <c r="K71" s="14">
        <v>25</v>
      </c>
      <c r="L71" s="27">
        <f t="shared" si="2"/>
        <v>2.4679170779861797</v>
      </c>
    </row>
    <row r="72" spans="1:12" ht="15" customHeight="1">
      <c r="A72" s="18" t="s">
        <v>168</v>
      </c>
      <c r="B72" s="19" t="s">
        <v>169</v>
      </c>
      <c r="C72" s="18" t="s">
        <v>41</v>
      </c>
      <c r="D72" s="25"/>
      <c r="E72" s="18" t="s">
        <v>36</v>
      </c>
      <c r="F72" s="25"/>
      <c r="G72" s="21" t="s">
        <v>30</v>
      </c>
      <c r="H72" s="18" t="s">
        <v>47</v>
      </c>
      <c r="I72" s="25"/>
      <c r="J72" s="20">
        <v>922</v>
      </c>
      <c r="K72" s="20">
        <v>25</v>
      </c>
      <c r="L72" s="26">
        <f t="shared" si="2"/>
        <v>2.7114967462039048</v>
      </c>
    </row>
    <row r="73" spans="1:12" ht="15" customHeight="1">
      <c r="A73" s="12" t="s">
        <v>170</v>
      </c>
      <c r="B73" s="13" t="s">
        <v>169</v>
      </c>
      <c r="C73" s="12" t="s">
        <v>32</v>
      </c>
      <c r="D73" s="25"/>
      <c r="E73" s="12" t="s">
        <v>24</v>
      </c>
      <c r="F73" s="25"/>
      <c r="G73" s="15" t="s">
        <v>30</v>
      </c>
      <c r="H73" s="12" t="s">
        <v>38</v>
      </c>
      <c r="I73" s="25"/>
      <c r="J73" s="14">
        <v>1121</v>
      </c>
      <c r="K73" s="14">
        <v>22</v>
      </c>
      <c r="L73" s="27">
        <f t="shared" si="2"/>
        <v>1.9625334522747548</v>
      </c>
    </row>
    <row r="74" spans="1:12" ht="15" customHeight="1">
      <c r="A74" s="18" t="s">
        <v>171</v>
      </c>
      <c r="B74" s="19" t="s">
        <v>169</v>
      </c>
      <c r="C74" s="18" t="s">
        <v>32</v>
      </c>
      <c r="D74" s="25"/>
      <c r="E74" s="18" t="s">
        <v>36</v>
      </c>
      <c r="F74" s="25"/>
      <c r="G74" s="21" t="s">
        <v>30</v>
      </c>
      <c r="H74" s="18" t="s">
        <v>47</v>
      </c>
      <c r="I74" s="25"/>
      <c r="J74" s="20">
        <v>1144</v>
      </c>
      <c r="K74" s="20">
        <v>29</v>
      </c>
      <c r="L74" s="26">
        <f t="shared" si="2"/>
        <v>2.534965034965035</v>
      </c>
    </row>
    <row r="75" spans="1:12" ht="15" customHeight="1">
      <c r="A75" s="12" t="s">
        <v>172</v>
      </c>
      <c r="B75" s="13" t="s">
        <v>173</v>
      </c>
      <c r="C75" s="12" t="s">
        <v>32</v>
      </c>
      <c r="D75" s="25"/>
      <c r="E75" s="12" t="s">
        <v>24</v>
      </c>
      <c r="F75" s="25"/>
      <c r="G75" s="15" t="s">
        <v>30</v>
      </c>
      <c r="H75" s="12" t="s">
        <v>47</v>
      </c>
      <c r="I75" s="25"/>
      <c r="J75" s="14">
        <v>1058</v>
      </c>
      <c r="K75" s="14">
        <v>28</v>
      </c>
      <c r="L75" s="27">
        <f t="shared" si="2"/>
        <v>2.6465028355387523</v>
      </c>
    </row>
    <row r="76" spans="1:12" ht="15" customHeight="1">
      <c r="A76" s="18" t="s">
        <v>174</v>
      </c>
      <c r="B76" s="19" t="s">
        <v>173</v>
      </c>
      <c r="C76" s="18" t="s">
        <v>41</v>
      </c>
      <c r="D76" s="25"/>
      <c r="E76" s="18" t="s">
        <v>36</v>
      </c>
      <c r="F76" s="25"/>
      <c r="G76" s="21" t="s">
        <v>30</v>
      </c>
      <c r="H76" s="18" t="s">
        <v>28</v>
      </c>
      <c r="I76" s="25"/>
      <c r="J76" s="20">
        <v>1028</v>
      </c>
      <c r="K76" s="20">
        <v>24</v>
      </c>
      <c r="L76" s="26">
        <f t="shared" si="2"/>
        <v>2.3346303501945527</v>
      </c>
    </row>
    <row r="77" spans="1:12" ht="15" customHeight="1">
      <c r="A77" s="12" t="s">
        <v>175</v>
      </c>
      <c r="B77" s="13" t="s">
        <v>176</v>
      </c>
      <c r="C77" s="12" t="s">
        <v>41</v>
      </c>
      <c r="D77" s="25"/>
      <c r="E77" s="12" t="s">
        <v>49</v>
      </c>
      <c r="F77" s="25"/>
      <c r="G77" s="15" t="s">
        <v>30</v>
      </c>
      <c r="H77" s="12" t="s">
        <v>38</v>
      </c>
      <c r="I77" s="25"/>
      <c r="J77" s="14">
        <v>1059</v>
      </c>
      <c r="K77" s="14">
        <v>32</v>
      </c>
      <c r="L77" s="27">
        <f t="shared" si="2"/>
        <v>3.0217186024551466</v>
      </c>
    </row>
    <row r="78" spans="1:12" ht="15" customHeight="1">
      <c r="A78" s="18" t="s">
        <v>177</v>
      </c>
      <c r="B78" s="19" t="s">
        <v>176</v>
      </c>
      <c r="C78" s="18" t="s">
        <v>32</v>
      </c>
      <c r="D78" s="25"/>
      <c r="E78" s="18" t="s">
        <v>36</v>
      </c>
      <c r="F78" s="25"/>
      <c r="G78" s="21" t="s">
        <v>55</v>
      </c>
      <c r="H78" s="18" t="s">
        <v>57</v>
      </c>
      <c r="I78" s="25"/>
      <c r="J78" s="20">
        <v>901</v>
      </c>
      <c r="K78" s="20">
        <v>35</v>
      </c>
      <c r="L78" s="26">
        <f t="shared" si="2"/>
        <v>3.8845726970033292</v>
      </c>
    </row>
    <row r="79" spans="1:12" ht="15" customHeight="1">
      <c r="A79" s="12" t="s">
        <v>178</v>
      </c>
      <c r="B79" s="13" t="s">
        <v>176</v>
      </c>
      <c r="C79" s="12" t="s">
        <v>41</v>
      </c>
      <c r="D79" s="25"/>
      <c r="E79" s="12" t="s">
        <v>36</v>
      </c>
      <c r="F79" s="25"/>
      <c r="G79" s="15" t="s">
        <v>30</v>
      </c>
      <c r="H79" s="12" t="s">
        <v>38</v>
      </c>
      <c r="I79" s="25"/>
      <c r="J79" s="14">
        <v>827</v>
      </c>
      <c r="K79" s="14">
        <v>10</v>
      </c>
      <c r="L79" s="27">
        <f t="shared" si="2"/>
        <v>1.2091898428053205</v>
      </c>
    </row>
    <row r="80" spans="1:12" ht="15" customHeight="1">
      <c r="A80" s="18" t="s">
        <v>179</v>
      </c>
      <c r="B80" s="19" t="s">
        <v>180</v>
      </c>
      <c r="C80" s="18" t="s">
        <v>20</v>
      </c>
      <c r="D80" s="25"/>
      <c r="E80" s="18" t="s">
        <v>24</v>
      </c>
      <c r="F80" s="25"/>
      <c r="G80" s="21" t="s">
        <v>55</v>
      </c>
      <c r="H80" s="18" t="s">
        <v>57</v>
      </c>
      <c r="I80" s="25"/>
      <c r="J80" s="20">
        <v>1020</v>
      </c>
      <c r="K80" s="20">
        <v>31</v>
      </c>
      <c r="L80" s="26">
        <f t="shared" si="2"/>
        <v>3.0392156862745097</v>
      </c>
    </row>
    <row r="81" spans="1:12" ht="15" customHeight="1">
      <c r="A81" s="12" t="s">
        <v>181</v>
      </c>
      <c r="B81" s="13" t="s">
        <v>180</v>
      </c>
      <c r="C81" s="12" t="s">
        <v>32</v>
      </c>
      <c r="D81" s="25"/>
      <c r="E81" s="12" t="s">
        <v>44</v>
      </c>
      <c r="F81" s="25"/>
      <c r="G81" s="15" t="s">
        <v>30</v>
      </c>
      <c r="H81" s="12" t="s">
        <v>47</v>
      </c>
      <c r="I81" s="25"/>
      <c r="J81" s="14">
        <v>950</v>
      </c>
      <c r="K81" s="14">
        <v>24</v>
      </c>
      <c r="L81" s="27">
        <f t="shared" si="2"/>
        <v>2.5263157894736841</v>
      </c>
    </row>
    <row r="82" spans="1:12" ht="15" customHeight="1">
      <c r="A82" s="18" t="s">
        <v>182</v>
      </c>
      <c r="B82" s="19" t="s">
        <v>183</v>
      </c>
      <c r="C82" s="18" t="s">
        <v>32</v>
      </c>
      <c r="D82" s="25"/>
      <c r="E82" s="18" t="s">
        <v>36</v>
      </c>
      <c r="F82" s="25"/>
      <c r="G82" s="21" t="s">
        <v>30</v>
      </c>
      <c r="H82" s="18" t="s">
        <v>38</v>
      </c>
      <c r="I82" s="25"/>
      <c r="J82" s="20">
        <v>801</v>
      </c>
      <c r="K82" s="20">
        <v>18</v>
      </c>
      <c r="L82" s="26">
        <f t="shared" si="2"/>
        <v>2.2471910112359552</v>
      </c>
    </row>
    <row r="83" spans="1:12" ht="15" customHeight="1">
      <c r="A83" s="12" t="s">
        <v>184</v>
      </c>
      <c r="B83" s="13" t="s">
        <v>183</v>
      </c>
      <c r="C83" s="12" t="s">
        <v>41</v>
      </c>
      <c r="D83" s="25"/>
      <c r="E83" s="12" t="s">
        <v>44</v>
      </c>
      <c r="F83" s="25"/>
      <c r="G83" s="15" t="s">
        <v>30</v>
      </c>
      <c r="H83" s="12" t="s">
        <v>38</v>
      </c>
      <c r="I83" s="25"/>
      <c r="J83" s="14">
        <v>911</v>
      </c>
      <c r="K83" s="14">
        <v>25</v>
      </c>
      <c r="L83" s="27">
        <f t="shared" si="2"/>
        <v>2.7442371020856204</v>
      </c>
    </row>
    <row r="84" spans="1:12" ht="15" customHeight="1">
      <c r="A84" s="18" t="s">
        <v>185</v>
      </c>
      <c r="B84" s="19" t="s">
        <v>186</v>
      </c>
      <c r="C84" s="18" t="s">
        <v>20</v>
      </c>
      <c r="D84" s="25"/>
      <c r="E84" s="18" t="s">
        <v>24</v>
      </c>
      <c r="F84" s="25"/>
      <c r="G84" s="21" t="s">
        <v>30</v>
      </c>
      <c r="H84" s="18" t="s">
        <v>28</v>
      </c>
      <c r="I84" s="25"/>
      <c r="J84" s="20">
        <v>1043</v>
      </c>
      <c r="K84" s="20">
        <v>17</v>
      </c>
      <c r="L84" s="26">
        <f t="shared" si="2"/>
        <v>1.6299137104506232</v>
      </c>
    </row>
    <row r="85" spans="1:12" ht="15" customHeight="1">
      <c r="A85" s="12" t="s">
        <v>187</v>
      </c>
      <c r="B85" s="13" t="s">
        <v>186</v>
      </c>
      <c r="C85" s="12" t="s">
        <v>20</v>
      </c>
      <c r="D85" s="25"/>
      <c r="E85" s="12" t="s">
        <v>24</v>
      </c>
      <c r="F85" s="25"/>
      <c r="G85" s="15" t="s">
        <v>30</v>
      </c>
      <c r="H85" s="12" t="s">
        <v>28</v>
      </c>
      <c r="I85" s="25"/>
      <c r="J85" s="14">
        <v>873</v>
      </c>
      <c r="K85" s="14">
        <v>20</v>
      </c>
      <c r="L85" s="27">
        <f t="shared" si="2"/>
        <v>2.2909507445589918</v>
      </c>
    </row>
    <row r="86" spans="1:12" ht="15" customHeight="1">
      <c r="A86" s="18" t="s">
        <v>188</v>
      </c>
      <c r="B86" s="19" t="s">
        <v>186</v>
      </c>
      <c r="C86" s="18" t="s">
        <v>32</v>
      </c>
      <c r="D86" s="25"/>
      <c r="E86" s="18" t="s">
        <v>24</v>
      </c>
      <c r="F86" s="25"/>
      <c r="G86" s="21" t="s">
        <v>30</v>
      </c>
      <c r="H86" s="18" t="s">
        <v>38</v>
      </c>
      <c r="I86" s="25"/>
      <c r="J86" s="20">
        <v>955</v>
      </c>
      <c r="K86" s="20">
        <v>21</v>
      </c>
      <c r="L86" s="26">
        <f t="shared" si="2"/>
        <v>2.1989528795811517</v>
      </c>
    </row>
    <row r="87" spans="1:12" ht="15" customHeight="1">
      <c r="A87" s="12" t="s">
        <v>189</v>
      </c>
      <c r="B87" s="13" t="s">
        <v>190</v>
      </c>
      <c r="C87" s="12" t="s">
        <v>41</v>
      </c>
      <c r="D87" s="25"/>
      <c r="E87" s="12" t="s">
        <v>49</v>
      </c>
      <c r="F87" s="25"/>
      <c r="G87" s="15" t="s">
        <v>55</v>
      </c>
      <c r="H87" s="12" t="s">
        <v>59</v>
      </c>
      <c r="I87" s="25"/>
      <c r="J87" s="14">
        <v>1053</v>
      </c>
      <c r="K87" s="14">
        <v>38</v>
      </c>
      <c r="L87" s="27">
        <f t="shared" si="2"/>
        <v>3.6087369420702751</v>
      </c>
    </row>
    <row r="88" spans="1:12" ht="15" customHeight="1">
      <c r="A88" s="18" t="s">
        <v>191</v>
      </c>
      <c r="B88" s="19" t="s">
        <v>190</v>
      </c>
      <c r="C88" s="18" t="s">
        <v>20</v>
      </c>
      <c r="D88" s="25"/>
      <c r="E88" s="18" t="s">
        <v>44</v>
      </c>
      <c r="F88" s="25"/>
      <c r="G88" s="21" t="s">
        <v>55</v>
      </c>
      <c r="H88" s="18" t="s">
        <v>59</v>
      </c>
      <c r="I88" s="25"/>
      <c r="J88" s="20">
        <v>874</v>
      </c>
      <c r="K88" s="20">
        <v>32</v>
      </c>
      <c r="L88" s="26">
        <f t="shared" si="2"/>
        <v>3.6613272311212817</v>
      </c>
    </row>
    <row r="89" spans="1:12" ht="15" customHeight="1">
      <c r="A89" s="12" t="s">
        <v>192</v>
      </c>
      <c r="B89" s="13" t="s">
        <v>193</v>
      </c>
      <c r="C89" s="12" t="s">
        <v>41</v>
      </c>
      <c r="D89" s="25"/>
      <c r="E89" s="12" t="s">
        <v>36</v>
      </c>
      <c r="F89" s="25"/>
      <c r="G89" s="15" t="s">
        <v>55</v>
      </c>
      <c r="H89" s="12" t="s">
        <v>59</v>
      </c>
      <c r="I89" s="25"/>
      <c r="J89" s="14">
        <v>1091</v>
      </c>
      <c r="K89" s="14">
        <v>34</v>
      </c>
      <c r="L89" s="27">
        <f t="shared" si="2"/>
        <v>3.1164069660861595</v>
      </c>
    </row>
    <row r="90" spans="1:12" ht="15" customHeight="1">
      <c r="A90" s="18" t="s">
        <v>194</v>
      </c>
      <c r="B90" s="19" t="s">
        <v>193</v>
      </c>
      <c r="C90" s="18" t="s">
        <v>20</v>
      </c>
      <c r="D90" s="25"/>
      <c r="E90" s="18" t="s">
        <v>36</v>
      </c>
      <c r="F90" s="25"/>
      <c r="G90" s="21" t="s">
        <v>30</v>
      </c>
      <c r="H90" s="18" t="s">
        <v>28</v>
      </c>
      <c r="I90" s="25"/>
      <c r="J90" s="20">
        <v>868</v>
      </c>
      <c r="K90" s="20">
        <v>9</v>
      </c>
      <c r="L90" s="26">
        <f t="shared" si="2"/>
        <v>1.0368663594470047</v>
      </c>
    </row>
    <row r="91" spans="1:12" ht="15" customHeight="1">
      <c r="A91" s="12" t="s">
        <v>195</v>
      </c>
      <c r="B91" s="13" t="s">
        <v>193</v>
      </c>
      <c r="C91" s="12" t="s">
        <v>32</v>
      </c>
      <c r="D91" s="25"/>
      <c r="E91" s="12" t="s">
        <v>49</v>
      </c>
      <c r="F91" s="25"/>
      <c r="G91" s="15" t="s">
        <v>30</v>
      </c>
      <c r="H91" s="12" t="s">
        <v>47</v>
      </c>
      <c r="I91" s="25"/>
      <c r="J91" s="14">
        <v>809</v>
      </c>
      <c r="K91" s="14">
        <v>19</v>
      </c>
      <c r="L91" s="27">
        <f t="shared" si="2"/>
        <v>2.3485784919653896</v>
      </c>
    </row>
    <row r="92" spans="1:12" ht="15" customHeight="1">
      <c r="A92" s="18" t="s">
        <v>196</v>
      </c>
      <c r="B92" s="19" t="s">
        <v>197</v>
      </c>
      <c r="C92" s="18" t="s">
        <v>32</v>
      </c>
      <c r="D92" s="25"/>
      <c r="E92" s="18" t="s">
        <v>44</v>
      </c>
      <c r="F92" s="25"/>
      <c r="G92" s="21" t="s">
        <v>30</v>
      </c>
      <c r="H92" s="18" t="s">
        <v>28</v>
      </c>
      <c r="I92" s="25"/>
      <c r="J92" s="20">
        <v>1183</v>
      </c>
      <c r="K92" s="20">
        <v>37</v>
      </c>
      <c r="L92" s="26">
        <f t="shared" si="2"/>
        <v>3.1276415891800511</v>
      </c>
    </row>
    <row r="93" spans="1:12" ht="15" customHeight="1">
      <c r="A93" s="12" t="s">
        <v>198</v>
      </c>
      <c r="B93" s="13" t="s">
        <v>197</v>
      </c>
      <c r="C93" s="12" t="s">
        <v>20</v>
      </c>
      <c r="D93" s="25"/>
      <c r="E93" s="12" t="s">
        <v>24</v>
      </c>
      <c r="F93" s="25"/>
      <c r="G93" s="15" t="s">
        <v>55</v>
      </c>
      <c r="H93" s="12" t="s">
        <v>57</v>
      </c>
      <c r="I93" s="25"/>
      <c r="J93" s="14">
        <v>929</v>
      </c>
      <c r="K93" s="14">
        <v>24</v>
      </c>
      <c r="L93" s="27">
        <f t="shared" si="2"/>
        <v>2.5834230355220669</v>
      </c>
    </row>
    <row r="94" spans="1:12" ht="15" customHeight="1">
      <c r="A94" s="18" t="s">
        <v>199</v>
      </c>
      <c r="B94" s="19" t="s">
        <v>200</v>
      </c>
      <c r="C94" s="18" t="s">
        <v>32</v>
      </c>
      <c r="D94" s="25"/>
      <c r="E94" s="18" t="s">
        <v>36</v>
      </c>
      <c r="F94" s="25"/>
      <c r="G94" s="21" t="s">
        <v>55</v>
      </c>
      <c r="H94" s="18" t="s">
        <v>53</v>
      </c>
      <c r="I94" s="25"/>
      <c r="J94" s="20">
        <v>918</v>
      </c>
      <c r="K94" s="20">
        <v>32</v>
      </c>
      <c r="L94" s="26">
        <f t="shared" si="2"/>
        <v>3.4858387799564272</v>
      </c>
    </row>
    <row r="95" spans="1:12" ht="15" customHeight="1">
      <c r="A95" s="12" t="s">
        <v>201</v>
      </c>
      <c r="B95" s="13" t="s">
        <v>200</v>
      </c>
      <c r="C95" s="12" t="s">
        <v>32</v>
      </c>
      <c r="D95" s="25"/>
      <c r="E95" s="12" t="s">
        <v>49</v>
      </c>
      <c r="F95" s="25"/>
      <c r="G95" s="15" t="s">
        <v>30</v>
      </c>
      <c r="H95" s="12" t="s">
        <v>47</v>
      </c>
      <c r="I95" s="25"/>
      <c r="J95" s="14">
        <v>947</v>
      </c>
      <c r="K95" s="14">
        <v>19</v>
      </c>
      <c r="L95" s="27">
        <f t="shared" si="2"/>
        <v>2.0063357972544877</v>
      </c>
    </row>
    <row r="96" spans="1:12" ht="15" customHeight="1">
      <c r="A96" s="18" t="s">
        <v>202</v>
      </c>
      <c r="B96" s="19" t="s">
        <v>203</v>
      </c>
      <c r="C96" s="18" t="s">
        <v>41</v>
      </c>
      <c r="D96" s="25"/>
      <c r="E96" s="18" t="s">
        <v>36</v>
      </c>
      <c r="F96" s="25"/>
      <c r="G96" s="21" t="s">
        <v>30</v>
      </c>
      <c r="H96" s="18" t="s">
        <v>28</v>
      </c>
      <c r="I96" s="25"/>
      <c r="J96" s="20">
        <v>969</v>
      </c>
      <c r="K96" s="20">
        <v>17</v>
      </c>
      <c r="L96" s="26">
        <f t="shared" si="2"/>
        <v>1.7543859649122806</v>
      </c>
    </row>
    <row r="97" spans="1:12" ht="15" customHeight="1">
      <c r="A97" s="12" t="s">
        <v>204</v>
      </c>
      <c r="B97" s="13" t="s">
        <v>203</v>
      </c>
      <c r="C97" s="12" t="s">
        <v>32</v>
      </c>
      <c r="D97" s="25"/>
      <c r="E97" s="12" t="s">
        <v>36</v>
      </c>
      <c r="F97" s="25"/>
      <c r="G97" s="15" t="s">
        <v>30</v>
      </c>
      <c r="H97" s="12" t="s">
        <v>28</v>
      </c>
      <c r="I97" s="25"/>
      <c r="J97" s="14">
        <v>1048</v>
      </c>
      <c r="K97" s="14">
        <v>32</v>
      </c>
      <c r="L97" s="27">
        <f t="shared" si="2"/>
        <v>3.0534351145038165</v>
      </c>
    </row>
    <row r="98" spans="1:12" ht="15" customHeight="1">
      <c r="A98" s="18" t="s">
        <v>205</v>
      </c>
      <c r="B98" s="19" t="s">
        <v>206</v>
      </c>
      <c r="C98" s="18" t="s">
        <v>41</v>
      </c>
      <c r="D98" s="25"/>
      <c r="E98" s="18" t="s">
        <v>24</v>
      </c>
      <c r="F98" s="25"/>
      <c r="G98" s="21" t="s">
        <v>55</v>
      </c>
      <c r="H98" s="18" t="s">
        <v>59</v>
      </c>
      <c r="I98" s="25"/>
      <c r="J98" s="20">
        <v>1050</v>
      </c>
      <c r="K98" s="20">
        <v>30</v>
      </c>
      <c r="L98" s="26">
        <f t="shared" si="2"/>
        <v>2.8571428571428572</v>
      </c>
    </row>
    <row r="99" spans="1:12" ht="15" customHeight="1">
      <c r="A99" s="12" t="s">
        <v>207</v>
      </c>
      <c r="B99" s="13" t="s">
        <v>206</v>
      </c>
      <c r="C99" s="12" t="s">
        <v>32</v>
      </c>
      <c r="D99" s="25"/>
      <c r="E99" s="12" t="s">
        <v>49</v>
      </c>
      <c r="F99" s="25"/>
      <c r="G99" s="15" t="s">
        <v>30</v>
      </c>
      <c r="H99" s="12" t="s">
        <v>28</v>
      </c>
      <c r="I99" s="25"/>
      <c r="J99" s="14">
        <v>1081</v>
      </c>
      <c r="K99" s="14">
        <v>39</v>
      </c>
      <c r="L99" s="27">
        <f t="shared" si="2"/>
        <v>3.6077705827937097</v>
      </c>
    </row>
    <row r="100" spans="1:12" ht="15" customHeight="1">
      <c r="A100" s="18" t="s">
        <v>208</v>
      </c>
      <c r="B100" s="19" t="s">
        <v>206</v>
      </c>
      <c r="C100" s="18" t="s">
        <v>20</v>
      </c>
      <c r="D100" s="25"/>
      <c r="E100" s="18" t="s">
        <v>44</v>
      </c>
      <c r="F100" s="25"/>
      <c r="G100" s="21" t="s">
        <v>55</v>
      </c>
      <c r="H100" s="18" t="s">
        <v>57</v>
      </c>
      <c r="I100" s="25"/>
      <c r="J100" s="20">
        <v>808</v>
      </c>
      <c r="K100" s="20">
        <v>23</v>
      </c>
      <c r="L100" s="26">
        <f t="shared" ref="L100:L131" si="3">IFERROR(K100/J100*100,0)</f>
        <v>2.8465346534653468</v>
      </c>
    </row>
    <row r="101" spans="1:12" ht="15" customHeight="1">
      <c r="A101" s="12" t="s">
        <v>209</v>
      </c>
      <c r="B101" s="13" t="s">
        <v>210</v>
      </c>
      <c r="C101" s="12" t="s">
        <v>32</v>
      </c>
      <c r="D101" s="25"/>
      <c r="E101" s="12" t="s">
        <v>49</v>
      </c>
      <c r="F101" s="25"/>
      <c r="G101" s="15" t="s">
        <v>30</v>
      </c>
      <c r="H101" s="12" t="s">
        <v>28</v>
      </c>
      <c r="I101" s="25"/>
      <c r="J101" s="14">
        <v>838</v>
      </c>
      <c r="K101" s="14">
        <v>28</v>
      </c>
      <c r="L101" s="27">
        <f t="shared" si="3"/>
        <v>3.3412887828162292</v>
      </c>
    </row>
    <row r="102" spans="1:12" ht="15" customHeight="1">
      <c r="A102" s="18" t="s">
        <v>211</v>
      </c>
      <c r="B102" s="19" t="s">
        <v>210</v>
      </c>
      <c r="C102" s="18" t="s">
        <v>41</v>
      </c>
      <c r="D102" s="25"/>
      <c r="E102" s="18" t="s">
        <v>24</v>
      </c>
      <c r="F102" s="25"/>
      <c r="G102" s="21" t="s">
        <v>30</v>
      </c>
      <c r="H102" s="18" t="s">
        <v>47</v>
      </c>
      <c r="I102" s="25"/>
      <c r="J102" s="20">
        <v>934</v>
      </c>
      <c r="K102" s="20">
        <v>18</v>
      </c>
      <c r="L102" s="26">
        <f t="shared" si="3"/>
        <v>1.9271948608137044</v>
      </c>
    </row>
    <row r="103" spans="1:12" ht="15" customHeight="1">
      <c r="A103" s="12" t="s">
        <v>212</v>
      </c>
      <c r="B103" s="13" t="s">
        <v>210</v>
      </c>
      <c r="C103" s="12" t="s">
        <v>41</v>
      </c>
      <c r="D103" s="25"/>
      <c r="E103" s="12" t="s">
        <v>44</v>
      </c>
      <c r="F103" s="25"/>
      <c r="G103" s="15" t="s">
        <v>55</v>
      </c>
      <c r="H103" s="12" t="s">
        <v>59</v>
      </c>
      <c r="I103" s="25"/>
      <c r="J103" s="14">
        <v>986</v>
      </c>
      <c r="K103" s="14">
        <v>28</v>
      </c>
      <c r="L103" s="27">
        <f t="shared" si="3"/>
        <v>2.8397565922920891</v>
      </c>
    </row>
    <row r="104" spans="1:12" ht="15" customHeight="1">
      <c r="A104" s="18" t="s">
        <v>213</v>
      </c>
      <c r="B104" s="19" t="s">
        <v>214</v>
      </c>
      <c r="C104" s="18" t="s">
        <v>32</v>
      </c>
      <c r="D104" s="25"/>
      <c r="E104" s="18" t="s">
        <v>49</v>
      </c>
      <c r="F104" s="25"/>
      <c r="G104" s="21" t="s">
        <v>30</v>
      </c>
      <c r="H104" s="18" t="s">
        <v>28</v>
      </c>
      <c r="I104" s="25"/>
      <c r="J104" s="20">
        <v>801</v>
      </c>
      <c r="K104" s="20">
        <v>30</v>
      </c>
      <c r="L104" s="26">
        <f t="shared" si="3"/>
        <v>3.7453183520599254</v>
      </c>
    </row>
    <row r="105" spans="1:12" ht="15" customHeight="1">
      <c r="A105" s="12" t="s">
        <v>215</v>
      </c>
      <c r="B105" s="13" t="s">
        <v>214</v>
      </c>
      <c r="C105" s="12" t="s">
        <v>32</v>
      </c>
      <c r="D105" s="25"/>
      <c r="E105" s="12" t="s">
        <v>44</v>
      </c>
      <c r="F105" s="25"/>
      <c r="G105" s="15" t="s">
        <v>55</v>
      </c>
      <c r="H105" s="12" t="s">
        <v>57</v>
      </c>
      <c r="I105" s="25"/>
      <c r="J105" s="14">
        <v>976</v>
      </c>
      <c r="K105" s="14">
        <v>33</v>
      </c>
      <c r="L105" s="27">
        <f t="shared" si="3"/>
        <v>3.3811475409836067</v>
      </c>
    </row>
    <row r="106" spans="1:12" ht="15" customHeight="1">
      <c r="A106" s="18" t="s">
        <v>216</v>
      </c>
      <c r="B106" s="19" t="s">
        <v>217</v>
      </c>
      <c r="C106" s="18" t="s">
        <v>32</v>
      </c>
      <c r="D106" s="25"/>
      <c r="E106" s="18" t="s">
        <v>24</v>
      </c>
      <c r="F106" s="25"/>
      <c r="G106" s="21" t="s">
        <v>55</v>
      </c>
      <c r="H106" s="18" t="s">
        <v>53</v>
      </c>
      <c r="I106" s="25"/>
      <c r="J106" s="20">
        <v>966</v>
      </c>
      <c r="K106" s="20">
        <v>34</v>
      </c>
      <c r="L106" s="26">
        <f t="shared" si="3"/>
        <v>3.5196687370600417</v>
      </c>
    </row>
    <row r="107" spans="1:12" ht="15" customHeight="1">
      <c r="A107" s="12" t="s">
        <v>218</v>
      </c>
      <c r="B107" s="13" t="s">
        <v>217</v>
      </c>
      <c r="C107" s="12" t="s">
        <v>20</v>
      </c>
      <c r="D107" s="25"/>
      <c r="E107" s="12" t="s">
        <v>36</v>
      </c>
      <c r="F107" s="25"/>
      <c r="G107" s="15" t="s">
        <v>55</v>
      </c>
      <c r="H107" s="12" t="s">
        <v>59</v>
      </c>
      <c r="I107" s="25"/>
      <c r="J107" s="14">
        <v>948</v>
      </c>
      <c r="K107" s="14">
        <v>21</v>
      </c>
      <c r="L107" s="27">
        <f t="shared" si="3"/>
        <v>2.2151898734177213</v>
      </c>
    </row>
    <row r="108" spans="1:12" ht="15" customHeight="1">
      <c r="A108" s="18" t="s">
        <v>219</v>
      </c>
      <c r="B108" s="19" t="s">
        <v>217</v>
      </c>
      <c r="C108" s="18" t="s">
        <v>32</v>
      </c>
      <c r="D108" s="25"/>
      <c r="E108" s="18" t="s">
        <v>44</v>
      </c>
      <c r="F108" s="25"/>
      <c r="G108" s="21" t="s">
        <v>30</v>
      </c>
      <c r="H108" s="18" t="s">
        <v>38</v>
      </c>
      <c r="I108" s="25"/>
      <c r="J108" s="20">
        <v>1101</v>
      </c>
      <c r="K108" s="20">
        <v>35</v>
      </c>
      <c r="L108" s="26">
        <f t="shared" si="3"/>
        <v>3.1789282470481379</v>
      </c>
    </row>
    <row r="109" spans="1:12" ht="15" customHeight="1">
      <c r="A109" s="12" t="s">
        <v>220</v>
      </c>
      <c r="B109" s="13" t="s">
        <v>221</v>
      </c>
      <c r="C109" s="12" t="s">
        <v>20</v>
      </c>
      <c r="D109" s="25"/>
      <c r="E109" s="12" t="s">
        <v>44</v>
      </c>
      <c r="F109" s="25"/>
      <c r="G109" s="15" t="s">
        <v>30</v>
      </c>
      <c r="H109" s="12" t="s">
        <v>47</v>
      </c>
      <c r="I109" s="25"/>
      <c r="J109" s="14">
        <v>946</v>
      </c>
      <c r="K109" s="14">
        <v>21</v>
      </c>
      <c r="L109" s="27">
        <f t="shared" si="3"/>
        <v>2.2198731501057085</v>
      </c>
    </row>
    <row r="110" spans="1:12" ht="15" customHeight="1">
      <c r="A110" s="18" t="s">
        <v>222</v>
      </c>
      <c r="B110" s="19" t="s">
        <v>221</v>
      </c>
      <c r="C110" s="18" t="s">
        <v>41</v>
      </c>
      <c r="D110" s="25"/>
      <c r="E110" s="18" t="s">
        <v>36</v>
      </c>
      <c r="F110" s="25"/>
      <c r="G110" s="21" t="s">
        <v>30</v>
      </c>
      <c r="H110" s="18" t="s">
        <v>38</v>
      </c>
      <c r="I110" s="25"/>
      <c r="J110" s="20">
        <v>1023</v>
      </c>
      <c r="K110" s="20">
        <v>15</v>
      </c>
      <c r="L110" s="26">
        <f t="shared" si="3"/>
        <v>1.466275659824047</v>
      </c>
    </row>
    <row r="111" spans="1:12" ht="15" customHeight="1">
      <c r="A111" s="12" t="s">
        <v>223</v>
      </c>
      <c r="B111" s="13" t="s">
        <v>221</v>
      </c>
      <c r="C111" s="12" t="s">
        <v>32</v>
      </c>
      <c r="D111" s="25"/>
      <c r="E111" s="12" t="s">
        <v>49</v>
      </c>
      <c r="F111" s="25"/>
      <c r="G111" s="15" t="s">
        <v>55</v>
      </c>
      <c r="H111" s="12" t="s">
        <v>59</v>
      </c>
      <c r="I111" s="25"/>
      <c r="J111" s="14">
        <v>1004</v>
      </c>
      <c r="K111" s="14">
        <v>43</v>
      </c>
      <c r="L111" s="27">
        <f t="shared" si="3"/>
        <v>4.2828685258964141</v>
      </c>
    </row>
    <row r="112" spans="1:12" ht="15" customHeight="1">
      <c r="A112" s="18" t="s">
        <v>224</v>
      </c>
      <c r="B112" s="19" t="s">
        <v>225</v>
      </c>
      <c r="C112" s="18" t="s">
        <v>41</v>
      </c>
      <c r="D112" s="25"/>
      <c r="E112" s="18" t="s">
        <v>24</v>
      </c>
      <c r="F112" s="25"/>
      <c r="G112" s="21" t="s">
        <v>30</v>
      </c>
      <c r="H112" s="18" t="s">
        <v>47</v>
      </c>
      <c r="I112" s="25"/>
      <c r="J112" s="20">
        <v>1010</v>
      </c>
      <c r="K112" s="20">
        <v>11</v>
      </c>
      <c r="L112" s="26">
        <f t="shared" si="3"/>
        <v>1.089108910891089</v>
      </c>
    </row>
    <row r="113" spans="1:12" ht="15" customHeight="1">
      <c r="A113" s="12" t="s">
        <v>226</v>
      </c>
      <c r="B113" s="13" t="s">
        <v>225</v>
      </c>
      <c r="C113" s="12" t="s">
        <v>41</v>
      </c>
      <c r="D113" s="25"/>
      <c r="E113" s="12" t="s">
        <v>44</v>
      </c>
      <c r="F113" s="25"/>
      <c r="G113" s="15" t="s">
        <v>30</v>
      </c>
      <c r="H113" s="12" t="s">
        <v>47</v>
      </c>
      <c r="I113" s="25"/>
      <c r="J113" s="14">
        <v>865</v>
      </c>
      <c r="K113" s="14">
        <v>17</v>
      </c>
      <c r="L113" s="27">
        <f t="shared" si="3"/>
        <v>1.9653179190751446</v>
      </c>
    </row>
    <row r="114" spans="1:12" ht="15" customHeight="1">
      <c r="A114" s="18" t="s">
        <v>227</v>
      </c>
      <c r="B114" s="19" t="s">
        <v>228</v>
      </c>
      <c r="C114" s="18" t="s">
        <v>32</v>
      </c>
      <c r="D114" s="25"/>
      <c r="E114" s="18" t="s">
        <v>49</v>
      </c>
      <c r="F114" s="25"/>
      <c r="G114" s="21" t="s">
        <v>30</v>
      </c>
      <c r="H114" s="18" t="s">
        <v>38</v>
      </c>
      <c r="I114" s="25"/>
      <c r="J114" s="20">
        <v>930</v>
      </c>
      <c r="K114" s="20">
        <v>29</v>
      </c>
      <c r="L114" s="26">
        <f t="shared" si="3"/>
        <v>3.118279569892473</v>
      </c>
    </row>
    <row r="115" spans="1:12" ht="15" customHeight="1">
      <c r="A115" s="12" t="s">
        <v>229</v>
      </c>
      <c r="B115" s="13" t="s">
        <v>228</v>
      </c>
      <c r="C115" s="12" t="s">
        <v>32</v>
      </c>
      <c r="D115" s="25"/>
      <c r="E115" s="12" t="s">
        <v>49</v>
      </c>
      <c r="F115" s="25"/>
      <c r="G115" s="15" t="s">
        <v>55</v>
      </c>
      <c r="H115" s="12" t="s">
        <v>57</v>
      </c>
      <c r="I115" s="25"/>
      <c r="J115" s="14">
        <v>1047</v>
      </c>
      <c r="K115" s="14">
        <v>34</v>
      </c>
      <c r="L115" s="27">
        <f t="shared" si="3"/>
        <v>3.2473734479465137</v>
      </c>
    </row>
    <row r="116" spans="1:12" ht="15" customHeight="1">
      <c r="A116" s="18" t="s">
        <v>230</v>
      </c>
      <c r="B116" s="19" t="s">
        <v>231</v>
      </c>
      <c r="C116" s="18" t="s">
        <v>20</v>
      </c>
      <c r="D116" s="25"/>
      <c r="E116" s="18" t="s">
        <v>36</v>
      </c>
      <c r="F116" s="25"/>
      <c r="G116" s="21" t="s">
        <v>55</v>
      </c>
      <c r="H116" s="18" t="s">
        <v>53</v>
      </c>
      <c r="I116" s="25"/>
      <c r="J116" s="20">
        <v>906</v>
      </c>
      <c r="K116" s="20">
        <v>20</v>
      </c>
      <c r="L116" s="26">
        <f t="shared" si="3"/>
        <v>2.2075055187637971</v>
      </c>
    </row>
    <row r="117" spans="1:12" ht="15" customHeight="1">
      <c r="A117" s="12" t="s">
        <v>232</v>
      </c>
      <c r="B117" s="13" t="s">
        <v>231</v>
      </c>
      <c r="C117" s="12" t="s">
        <v>41</v>
      </c>
      <c r="D117" s="25"/>
      <c r="E117" s="12" t="s">
        <v>36</v>
      </c>
      <c r="F117" s="25"/>
      <c r="G117" s="15" t="s">
        <v>30</v>
      </c>
      <c r="H117" s="12" t="s">
        <v>38</v>
      </c>
      <c r="I117" s="25"/>
      <c r="J117" s="14">
        <v>1188</v>
      </c>
      <c r="K117" s="14">
        <v>21</v>
      </c>
      <c r="L117" s="27">
        <f t="shared" si="3"/>
        <v>1.7676767676767675</v>
      </c>
    </row>
    <row r="118" spans="1:12" ht="15" customHeight="1">
      <c r="A118" s="18" t="s">
        <v>233</v>
      </c>
      <c r="B118" s="19" t="s">
        <v>231</v>
      </c>
      <c r="C118" s="18" t="s">
        <v>32</v>
      </c>
      <c r="D118" s="25"/>
      <c r="E118" s="18" t="s">
        <v>49</v>
      </c>
      <c r="F118" s="25"/>
      <c r="G118" s="21" t="s">
        <v>30</v>
      </c>
      <c r="H118" s="18" t="s">
        <v>28</v>
      </c>
      <c r="I118" s="25"/>
      <c r="J118" s="20">
        <v>924</v>
      </c>
      <c r="K118" s="20">
        <v>32</v>
      </c>
      <c r="L118" s="26">
        <f t="shared" si="3"/>
        <v>3.4632034632034632</v>
      </c>
    </row>
    <row r="119" spans="1:12" ht="15" customHeight="1">
      <c r="A119" s="12" t="s">
        <v>234</v>
      </c>
      <c r="B119" s="13" t="s">
        <v>235</v>
      </c>
      <c r="C119" s="12" t="s">
        <v>32</v>
      </c>
      <c r="D119" s="25"/>
      <c r="E119" s="12" t="s">
        <v>36</v>
      </c>
      <c r="F119" s="25"/>
      <c r="G119" s="15" t="s">
        <v>30</v>
      </c>
      <c r="H119" s="12" t="s">
        <v>47</v>
      </c>
      <c r="I119" s="25"/>
      <c r="J119" s="14">
        <v>903</v>
      </c>
      <c r="K119" s="14">
        <v>23</v>
      </c>
      <c r="L119" s="27">
        <f t="shared" si="3"/>
        <v>2.5470653377630121</v>
      </c>
    </row>
    <row r="120" spans="1:12" ht="15" customHeight="1">
      <c r="A120" s="18" t="s">
        <v>236</v>
      </c>
      <c r="B120" s="19" t="s">
        <v>235</v>
      </c>
      <c r="C120" s="18" t="s">
        <v>20</v>
      </c>
      <c r="D120" s="25"/>
      <c r="E120" s="18" t="s">
        <v>49</v>
      </c>
      <c r="F120" s="25"/>
      <c r="G120" s="21" t="s">
        <v>30</v>
      </c>
      <c r="H120" s="18" t="s">
        <v>47</v>
      </c>
      <c r="I120" s="25"/>
      <c r="J120" s="20">
        <v>1068</v>
      </c>
      <c r="K120" s="20">
        <v>28</v>
      </c>
      <c r="L120" s="26">
        <f t="shared" si="3"/>
        <v>2.6217228464419478</v>
      </c>
    </row>
    <row r="121" spans="1:12" ht="15" customHeight="1">
      <c r="A121" s="12" t="s">
        <v>237</v>
      </c>
      <c r="B121" s="13" t="s">
        <v>238</v>
      </c>
      <c r="C121" s="12" t="s">
        <v>32</v>
      </c>
      <c r="D121" s="25"/>
      <c r="E121" s="12" t="s">
        <v>44</v>
      </c>
      <c r="F121" s="25"/>
      <c r="G121" s="15" t="s">
        <v>30</v>
      </c>
      <c r="H121" s="12" t="s">
        <v>38</v>
      </c>
      <c r="I121" s="25"/>
      <c r="J121" s="14">
        <v>864</v>
      </c>
      <c r="K121" s="14">
        <v>23</v>
      </c>
      <c r="L121" s="27">
        <f t="shared" si="3"/>
        <v>2.6620370370370372</v>
      </c>
    </row>
    <row r="122" spans="1:12" ht="15" customHeight="1">
      <c r="A122" s="18" t="s">
        <v>239</v>
      </c>
      <c r="B122" s="19" t="s">
        <v>238</v>
      </c>
      <c r="C122" s="18" t="s">
        <v>41</v>
      </c>
      <c r="D122" s="25"/>
      <c r="E122" s="18" t="s">
        <v>36</v>
      </c>
      <c r="F122" s="25"/>
      <c r="G122" s="21" t="s">
        <v>30</v>
      </c>
      <c r="H122" s="18" t="s">
        <v>28</v>
      </c>
      <c r="I122" s="25"/>
      <c r="J122" s="20">
        <v>996</v>
      </c>
      <c r="K122" s="20">
        <v>14</v>
      </c>
      <c r="L122" s="26">
        <f t="shared" si="3"/>
        <v>1.4056224899598393</v>
      </c>
    </row>
    <row r="123" spans="1:12" ht="15" customHeight="1">
      <c r="A123" s="12" t="s">
        <v>240</v>
      </c>
      <c r="B123" s="13" t="s">
        <v>241</v>
      </c>
      <c r="C123" s="12" t="s">
        <v>20</v>
      </c>
      <c r="D123" s="25"/>
      <c r="E123" s="12" t="s">
        <v>36</v>
      </c>
      <c r="F123" s="25"/>
      <c r="G123" s="15" t="s">
        <v>30</v>
      </c>
      <c r="H123" s="12" t="s">
        <v>47</v>
      </c>
      <c r="I123" s="25"/>
      <c r="J123" s="14">
        <v>1191</v>
      </c>
      <c r="K123" s="14">
        <v>24</v>
      </c>
      <c r="L123" s="27">
        <f t="shared" si="3"/>
        <v>2.0151133501259446</v>
      </c>
    </row>
  </sheetData>
  <mergeCells count="2">
    <mergeCell ref="A1:L1"/>
    <mergeCell ref="A2:L2"/>
  </mergeCells>
  <phoneticPr fontId="22" type="noConversion"/>
  <conditionalFormatting sqref="L4:L12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1"/>
  <sheetViews>
    <sheetView zoomScaleNormal="100" workbookViewId="0">
      <pane ySplit="4" topLeftCell="A5" activePane="bottomLeft" state="frozen"/>
      <selection pane="bottomLeft" sqref="A1:N1"/>
    </sheetView>
  </sheetViews>
  <sheetFormatPr defaultColWidth="8.6640625" defaultRowHeight="14.4"/>
  <cols>
    <col min="1" max="1" width="7" style="10" customWidth="1"/>
    <col min="2" max="4" width="10" style="10" customWidth="1"/>
    <col min="5" max="5" width="12" style="10" customWidth="1"/>
    <col min="6" max="6" width="9" style="10" customWidth="1"/>
    <col min="8" max="8" width="16" style="10" customWidth="1"/>
    <col min="9" max="14" width="9" style="10" customWidth="1"/>
  </cols>
  <sheetData>
    <row r="1" spans="1:14" ht="27.75" customHeight="1">
      <c r="A1" s="9" t="s">
        <v>242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</row>
    <row r="3" spans="1:14" ht="21.75" customHeight="1">
      <c r="A3" s="6" t="s">
        <v>243</v>
      </c>
      <c r="B3" s="6"/>
      <c r="C3" s="6"/>
      <c r="D3" s="6"/>
      <c r="E3" s="6"/>
      <c r="F3" s="6"/>
      <c r="H3" s="5" t="s">
        <v>244</v>
      </c>
      <c r="I3" s="5"/>
      <c r="J3" s="5"/>
      <c r="K3" s="5"/>
      <c r="L3" s="5"/>
      <c r="M3" s="5"/>
      <c r="N3" s="5"/>
    </row>
    <row r="4" spans="1:14" ht="19.5" customHeight="1">
      <c r="A4" s="28" t="s">
        <v>245</v>
      </c>
      <c r="B4" s="29" t="s">
        <v>246</v>
      </c>
      <c r="C4" s="29" t="s">
        <v>247</v>
      </c>
      <c r="D4" s="29" t="s">
        <v>248</v>
      </c>
      <c r="E4" s="29" t="s">
        <v>249</v>
      </c>
      <c r="F4" s="29" t="s">
        <v>250</v>
      </c>
      <c r="H4" s="30" t="s">
        <v>251</v>
      </c>
      <c r="I4" s="30" t="s">
        <v>252</v>
      </c>
      <c r="J4" s="30" t="s">
        <v>253</v>
      </c>
      <c r="K4" s="30" t="s">
        <v>254</v>
      </c>
      <c r="L4" s="30" t="s">
        <v>255</v>
      </c>
      <c r="M4" s="30" t="s">
        <v>256</v>
      </c>
      <c r="N4" s="30" t="s">
        <v>257</v>
      </c>
    </row>
    <row r="5" spans="1:14" ht="16.5" customHeight="1">
      <c r="A5" s="18" t="s">
        <v>258</v>
      </c>
      <c r="B5" s="31">
        <v>57.4</v>
      </c>
      <c r="C5" s="31">
        <v>49</v>
      </c>
      <c r="D5" s="31">
        <v>62.3</v>
      </c>
      <c r="E5" s="31">
        <v>71.8</v>
      </c>
      <c r="F5" s="21" t="s">
        <v>259</v>
      </c>
      <c r="H5" s="32" t="s">
        <v>260</v>
      </c>
      <c r="I5" s="25"/>
      <c r="J5" s="25"/>
      <c r="K5" s="25"/>
      <c r="L5" s="33">
        <f>AVERAGE(B5:B34)</f>
        <v>57.823333333333331</v>
      </c>
      <c r="M5" s="33">
        <f>AVERAGE(C5:C34)</f>
        <v>62.300000000000004</v>
      </c>
      <c r="N5" s="33">
        <f>AVERAGE(D5:D34)</f>
        <v>65.63333333333334</v>
      </c>
    </row>
    <row r="6" spans="1:14" ht="16.5" customHeight="1">
      <c r="A6" s="12" t="s">
        <v>261</v>
      </c>
      <c r="B6" s="34">
        <v>58.3</v>
      </c>
      <c r="C6" s="34">
        <v>55.5</v>
      </c>
      <c r="D6" s="34">
        <v>60.3</v>
      </c>
      <c r="E6" s="34">
        <v>73.099999999999994</v>
      </c>
      <c r="F6" s="15" t="s">
        <v>259</v>
      </c>
      <c r="H6" s="35" t="s">
        <v>262</v>
      </c>
      <c r="I6" s="25"/>
      <c r="J6" s="25"/>
      <c r="K6" s="25"/>
      <c r="L6" s="33">
        <f>MEDIAN(B5:B34)</f>
        <v>57.6</v>
      </c>
      <c r="M6" s="33">
        <f>MEDIAN(C5:C34)</f>
        <v>60.9</v>
      </c>
      <c r="N6" s="33">
        <f>MEDIAN(D5:D34)</f>
        <v>65.75</v>
      </c>
    </row>
    <row r="7" spans="1:14" ht="16.5" customHeight="1">
      <c r="A7" s="18" t="s">
        <v>263</v>
      </c>
      <c r="B7" s="31">
        <v>54.8</v>
      </c>
      <c r="C7" s="31">
        <v>62.7</v>
      </c>
      <c r="D7" s="31">
        <v>69.900000000000006</v>
      </c>
      <c r="E7" s="31">
        <v>72.3</v>
      </c>
      <c r="F7" s="21" t="s">
        <v>259</v>
      </c>
      <c r="H7" s="32" t="s">
        <v>264</v>
      </c>
      <c r="I7" s="25"/>
      <c r="J7" s="25"/>
      <c r="K7" s="25"/>
      <c r="L7" s="33">
        <f>MIN(B5:B34)</f>
        <v>54.8</v>
      </c>
      <c r="M7" s="33">
        <f>MIN(C5:C34)</f>
        <v>22.9</v>
      </c>
      <c r="N7" s="33">
        <f>MIN(D5:D34)</f>
        <v>58.8</v>
      </c>
    </row>
    <row r="8" spans="1:14" ht="16.5" customHeight="1">
      <c r="A8" s="12" t="s">
        <v>265</v>
      </c>
      <c r="B8" s="34">
        <v>57.2</v>
      </c>
      <c r="C8" s="36">
        <v>100.9</v>
      </c>
      <c r="D8" s="34">
        <v>72.099999999999994</v>
      </c>
      <c r="E8" s="34">
        <v>82.7</v>
      </c>
      <c r="F8" s="37" t="s">
        <v>266</v>
      </c>
      <c r="H8" s="35" t="s">
        <v>267</v>
      </c>
      <c r="I8" s="25"/>
      <c r="J8" s="25"/>
      <c r="K8" s="25"/>
      <c r="L8" s="33">
        <f>MAX(B5:B34)</f>
        <v>64.099999999999994</v>
      </c>
      <c r="M8" s="33">
        <f>MAX(C5:C34)</f>
        <v>105.7</v>
      </c>
      <c r="N8" s="33">
        <f>MAX(D5:D34)</f>
        <v>72.400000000000006</v>
      </c>
    </row>
    <row r="9" spans="1:14" ht="16.5" customHeight="1">
      <c r="A9" s="18" t="s">
        <v>268</v>
      </c>
      <c r="B9" s="31">
        <v>58.9</v>
      </c>
      <c r="C9" s="31">
        <v>59.9</v>
      </c>
      <c r="D9" s="31">
        <v>65.400000000000006</v>
      </c>
      <c r="E9" s="31">
        <v>74.5</v>
      </c>
      <c r="F9" s="21" t="s">
        <v>259</v>
      </c>
      <c r="H9" s="32" t="s">
        <v>269</v>
      </c>
      <c r="I9" s="25"/>
      <c r="J9" s="25"/>
      <c r="K9" s="25"/>
      <c r="L9" s="33">
        <f>STDEV(B5:B34)</f>
        <v>1.8376678123387118</v>
      </c>
      <c r="M9" s="33">
        <f>STDEV(C5:C34)</f>
        <v>18.984748869952725</v>
      </c>
      <c r="N9" s="33">
        <f>STDEV(D5:D34)</f>
        <v>3.3877398969217523</v>
      </c>
    </row>
    <row r="10" spans="1:14" ht="16.5" customHeight="1">
      <c r="A10" s="12" t="s">
        <v>270</v>
      </c>
      <c r="B10" s="34">
        <v>58.4</v>
      </c>
      <c r="C10" s="34">
        <v>70.3</v>
      </c>
      <c r="D10" s="34">
        <v>65</v>
      </c>
      <c r="E10" s="34">
        <v>71.900000000000006</v>
      </c>
      <c r="F10" s="15" t="s">
        <v>259</v>
      </c>
      <c r="H10" s="35" t="s">
        <v>271</v>
      </c>
      <c r="I10" s="25"/>
      <c r="J10" s="25"/>
      <c r="K10" s="25"/>
      <c r="L10" s="33">
        <f>VAR(B5:B34)</f>
        <v>3.3770229885057472</v>
      </c>
      <c r="M10" s="33">
        <f>VAR(C5:C34)</f>
        <v>360.42068965517132</v>
      </c>
      <c r="N10" s="33">
        <f>VAR(D5:D34)</f>
        <v>11.476781609195404</v>
      </c>
    </row>
    <row r="11" spans="1:14" ht="16.5" customHeight="1">
      <c r="A11" s="18" t="s">
        <v>272</v>
      </c>
      <c r="B11" s="31">
        <v>58.6</v>
      </c>
      <c r="C11" s="31">
        <v>59.4</v>
      </c>
      <c r="D11" s="31">
        <v>65.2</v>
      </c>
      <c r="E11" s="31">
        <v>72.2</v>
      </c>
      <c r="F11" s="21" t="s">
        <v>259</v>
      </c>
      <c r="H11" s="32" t="s">
        <v>273</v>
      </c>
      <c r="I11" s="25"/>
      <c r="J11" s="25"/>
      <c r="K11" s="25"/>
      <c r="L11" s="33">
        <f>COUNTIF(B5:B34,"&lt;"&amp;(AVERAGE(B5:B34)-2*STDEV(B5:B34)))+COUNTIF(B5:B34,"&gt;"&amp;(AVERAGE(B5:B34)+2*STDEV(B5:B34)))</f>
        <v>1</v>
      </c>
      <c r="M11" s="33">
        <f>COUNTIF(C5:C34,"&lt;"&amp;(AVERAGE(C5:C34)-2*STDEV(C5:C34)))+COUNTIF(C5:C34,"&gt;"&amp;(AVERAGE(C5:C34)+2*STDEV(C5:C34)))</f>
        <v>3</v>
      </c>
      <c r="N11" s="33">
        <f>COUNTIF(D5:D34,"&lt;"&amp;(AVERAGE(D5:D34)-2*STDEV(D5:D34)))+COUNTIF(D5:D34,"&gt;"&amp;(AVERAGE(D5:D34)+2*STDEV(D5:D34)))</f>
        <v>1</v>
      </c>
    </row>
    <row r="12" spans="1:14" ht="15" customHeight="1">
      <c r="A12" s="12" t="s">
        <v>274</v>
      </c>
      <c r="B12" s="34">
        <v>59.6</v>
      </c>
      <c r="C12" s="34">
        <v>53.4</v>
      </c>
      <c r="D12" s="34">
        <v>61.4</v>
      </c>
      <c r="E12" s="34">
        <v>69.599999999999994</v>
      </c>
      <c r="F12" s="15" t="s">
        <v>259</v>
      </c>
    </row>
    <row r="13" spans="1:14" ht="15" customHeight="1">
      <c r="A13" s="18" t="s">
        <v>275</v>
      </c>
      <c r="B13" s="31">
        <v>60.1</v>
      </c>
      <c r="C13" s="31">
        <v>65.900000000000006</v>
      </c>
      <c r="D13" s="31">
        <v>62.7</v>
      </c>
      <c r="E13" s="31">
        <v>71.900000000000006</v>
      </c>
      <c r="F13" s="21" t="s">
        <v>259</v>
      </c>
    </row>
    <row r="14" spans="1:14" ht="15" customHeight="1">
      <c r="A14" s="12" t="s">
        <v>276</v>
      </c>
      <c r="B14" s="34">
        <v>57</v>
      </c>
      <c r="C14" s="34">
        <v>58.1</v>
      </c>
      <c r="D14" s="34">
        <v>67.7</v>
      </c>
      <c r="E14" s="34">
        <v>70.3</v>
      </c>
      <c r="F14" s="15" t="s">
        <v>259</v>
      </c>
    </row>
    <row r="15" spans="1:14" ht="15" customHeight="1">
      <c r="A15" s="18" t="s">
        <v>277</v>
      </c>
      <c r="B15" s="31">
        <v>57.3</v>
      </c>
      <c r="C15" s="31">
        <v>63.3</v>
      </c>
      <c r="D15" s="31">
        <v>62.9</v>
      </c>
      <c r="E15" s="31">
        <v>73</v>
      </c>
      <c r="F15" s="21" t="s">
        <v>259</v>
      </c>
    </row>
    <row r="16" spans="1:14" ht="15" customHeight="1">
      <c r="A16" s="12" t="s">
        <v>278</v>
      </c>
      <c r="B16" s="34">
        <v>56</v>
      </c>
      <c r="C16" s="34">
        <v>63.4</v>
      </c>
      <c r="D16" s="34">
        <v>67.8</v>
      </c>
      <c r="E16" s="34">
        <v>68.5</v>
      </c>
      <c r="F16" s="15" t="s">
        <v>259</v>
      </c>
    </row>
    <row r="17" spans="1:6" ht="15" customHeight="1">
      <c r="A17" s="18" t="s">
        <v>279</v>
      </c>
      <c r="B17" s="31">
        <v>58.4</v>
      </c>
      <c r="C17" s="31">
        <v>57.1</v>
      </c>
      <c r="D17" s="31">
        <v>66.900000000000006</v>
      </c>
      <c r="E17" s="31">
        <v>74.599999999999994</v>
      </c>
      <c r="F17" s="21" t="s">
        <v>259</v>
      </c>
    </row>
    <row r="18" spans="1:6" ht="15" customHeight="1">
      <c r="A18" s="12" t="s">
        <v>280</v>
      </c>
      <c r="B18" s="34">
        <v>57.7</v>
      </c>
      <c r="C18" s="34">
        <v>49.6</v>
      </c>
      <c r="D18" s="34">
        <v>70.099999999999994</v>
      </c>
      <c r="E18" s="34">
        <v>72.5</v>
      </c>
      <c r="F18" s="15" t="s">
        <v>259</v>
      </c>
    </row>
    <row r="19" spans="1:6" ht="15" customHeight="1">
      <c r="A19" s="18" t="s">
        <v>281</v>
      </c>
      <c r="B19" s="31">
        <v>58.6</v>
      </c>
      <c r="C19" s="38">
        <v>22.9</v>
      </c>
      <c r="D19" s="31">
        <v>63.5</v>
      </c>
      <c r="E19" s="31">
        <v>80.400000000000006</v>
      </c>
      <c r="F19" s="39" t="s">
        <v>266</v>
      </c>
    </row>
    <row r="20" spans="1:6" ht="15" customHeight="1">
      <c r="A20" s="12" t="s">
        <v>282</v>
      </c>
      <c r="B20" s="34">
        <v>64.099999999999994</v>
      </c>
      <c r="C20" s="36">
        <v>33.5</v>
      </c>
      <c r="D20" s="34">
        <v>58.8</v>
      </c>
      <c r="E20" s="34">
        <v>78.099999999999994</v>
      </c>
      <c r="F20" s="37" t="s">
        <v>266</v>
      </c>
    </row>
    <row r="21" spans="1:6" ht="15" customHeight="1">
      <c r="A21" s="18" t="s">
        <v>283</v>
      </c>
      <c r="B21" s="31">
        <v>56.6</v>
      </c>
      <c r="C21" s="38">
        <v>105.7</v>
      </c>
      <c r="D21" s="31">
        <v>66.099999999999994</v>
      </c>
      <c r="E21" s="31">
        <v>80.400000000000006</v>
      </c>
      <c r="F21" s="39" t="s">
        <v>266</v>
      </c>
    </row>
    <row r="22" spans="1:6" ht="15" customHeight="1">
      <c r="A22" s="12" t="s">
        <v>284</v>
      </c>
      <c r="B22" s="34">
        <v>56.5</v>
      </c>
      <c r="C22" s="34">
        <v>62.6</v>
      </c>
      <c r="D22" s="34">
        <v>66.8</v>
      </c>
      <c r="E22" s="34">
        <v>71.3</v>
      </c>
      <c r="F22" s="15" t="s">
        <v>259</v>
      </c>
    </row>
    <row r="23" spans="1:6" ht="15" customHeight="1">
      <c r="A23" s="18" t="s">
        <v>285</v>
      </c>
      <c r="B23" s="31">
        <v>56.5</v>
      </c>
      <c r="C23" s="31">
        <v>52.7</v>
      </c>
      <c r="D23" s="31">
        <v>72.400000000000006</v>
      </c>
      <c r="E23" s="31">
        <v>74.400000000000006</v>
      </c>
      <c r="F23" s="21" t="s">
        <v>259</v>
      </c>
    </row>
    <row r="24" spans="1:6" ht="15" customHeight="1">
      <c r="A24" s="12" t="s">
        <v>286</v>
      </c>
      <c r="B24" s="34">
        <v>57</v>
      </c>
      <c r="C24" s="34">
        <v>62.9</v>
      </c>
      <c r="D24" s="34">
        <v>67.900000000000006</v>
      </c>
      <c r="E24" s="34">
        <v>73.099999999999994</v>
      </c>
      <c r="F24" s="15" t="s">
        <v>259</v>
      </c>
    </row>
    <row r="25" spans="1:6" ht="15" customHeight="1">
      <c r="A25" s="18" t="s">
        <v>287</v>
      </c>
      <c r="B25" s="31">
        <v>60.3</v>
      </c>
      <c r="C25" s="31">
        <v>70.900000000000006</v>
      </c>
      <c r="D25" s="31">
        <v>66.900000000000006</v>
      </c>
      <c r="E25" s="31">
        <v>73.7</v>
      </c>
      <c r="F25" s="21" t="s">
        <v>259</v>
      </c>
    </row>
    <row r="26" spans="1:6" ht="15" customHeight="1">
      <c r="A26" s="12" t="s">
        <v>288</v>
      </c>
      <c r="B26" s="34">
        <v>55.4</v>
      </c>
      <c r="C26" s="34">
        <v>64.900000000000006</v>
      </c>
      <c r="D26" s="34">
        <v>65.400000000000006</v>
      </c>
      <c r="E26" s="34">
        <v>69.3</v>
      </c>
      <c r="F26" s="15" t="s">
        <v>259</v>
      </c>
    </row>
    <row r="27" spans="1:6" ht="15" customHeight="1">
      <c r="A27" s="18" t="s">
        <v>289</v>
      </c>
      <c r="B27" s="31">
        <v>57.3</v>
      </c>
      <c r="C27" s="31">
        <v>65.099999999999994</v>
      </c>
      <c r="D27" s="31">
        <v>68</v>
      </c>
      <c r="E27" s="31">
        <v>73.7</v>
      </c>
      <c r="F27" s="21" t="s">
        <v>259</v>
      </c>
    </row>
    <row r="28" spans="1:6" ht="15" customHeight="1">
      <c r="A28" s="12" t="s">
        <v>290</v>
      </c>
      <c r="B28" s="34">
        <v>58.7</v>
      </c>
      <c r="C28" s="34">
        <v>61.9</v>
      </c>
      <c r="D28" s="34">
        <v>66.5</v>
      </c>
      <c r="E28" s="34">
        <v>68.400000000000006</v>
      </c>
      <c r="F28" s="15" t="s">
        <v>259</v>
      </c>
    </row>
    <row r="29" spans="1:6" ht="15" customHeight="1">
      <c r="A29" s="18" t="s">
        <v>291</v>
      </c>
      <c r="B29" s="31">
        <v>58.2</v>
      </c>
      <c r="C29" s="31">
        <v>59</v>
      </c>
      <c r="D29" s="31">
        <v>69</v>
      </c>
      <c r="E29" s="31">
        <v>70.099999999999994</v>
      </c>
      <c r="F29" s="21" t="s">
        <v>259</v>
      </c>
    </row>
    <row r="30" spans="1:6" ht="15" customHeight="1">
      <c r="A30" s="12" t="s">
        <v>292</v>
      </c>
      <c r="B30" s="34">
        <v>57.5</v>
      </c>
      <c r="C30" s="34">
        <v>58.2</v>
      </c>
      <c r="D30" s="34">
        <v>61.5</v>
      </c>
      <c r="E30" s="34">
        <v>69.3</v>
      </c>
      <c r="F30" s="15" t="s">
        <v>259</v>
      </c>
    </row>
    <row r="31" spans="1:6" ht="15" customHeight="1">
      <c r="A31" s="18" t="s">
        <v>293</v>
      </c>
      <c r="B31" s="31">
        <v>56.1</v>
      </c>
      <c r="C31" s="38">
        <v>96.5</v>
      </c>
      <c r="D31" s="31">
        <v>63.9</v>
      </c>
      <c r="E31" s="31">
        <v>77.5</v>
      </c>
      <c r="F31" s="39" t="s">
        <v>266</v>
      </c>
    </row>
    <row r="32" spans="1:6" ht="15" customHeight="1">
      <c r="A32" s="12" t="s">
        <v>294</v>
      </c>
      <c r="B32" s="34">
        <v>58.3</v>
      </c>
      <c r="C32" s="36">
        <v>98.9</v>
      </c>
      <c r="D32" s="34">
        <v>67.099999999999994</v>
      </c>
      <c r="E32" s="34">
        <v>79.3</v>
      </c>
      <c r="F32" s="37" t="s">
        <v>266</v>
      </c>
    </row>
    <row r="33" spans="1:14" ht="15" customHeight="1">
      <c r="A33" s="18" t="s">
        <v>295</v>
      </c>
      <c r="B33" s="31">
        <v>54.8</v>
      </c>
      <c r="C33" s="38">
        <v>25.3</v>
      </c>
      <c r="D33" s="31">
        <v>64.5</v>
      </c>
      <c r="E33" s="31">
        <v>78.3</v>
      </c>
      <c r="F33" s="39" t="s">
        <v>266</v>
      </c>
    </row>
    <row r="34" spans="1:14" ht="15" customHeight="1">
      <c r="A34" s="12" t="s">
        <v>296</v>
      </c>
      <c r="B34" s="34">
        <v>59.1</v>
      </c>
      <c r="C34" s="34">
        <v>59.5</v>
      </c>
      <c r="D34" s="34">
        <v>61</v>
      </c>
      <c r="E34" s="34">
        <v>73.400000000000006</v>
      </c>
      <c r="F34" s="15" t="s">
        <v>259</v>
      </c>
    </row>
    <row r="36" spans="1:14" ht="21.75" customHeight="1">
      <c r="A36" s="4" t="s">
        <v>297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1:14" ht="19.5" customHeight="1">
      <c r="A37" s="3" t="s">
        <v>298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ht="19.5" customHeight="1">
      <c r="A38" s="2" t="s">
        <v>299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 ht="19.5" customHeight="1">
      <c r="A39" s="3" t="s">
        <v>300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ht="19.5" customHeight="1">
      <c r="A40" s="2" t="s">
        <v>301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 ht="19.5" customHeight="1">
      <c r="A41" s="1" t="s">
        <v>302</v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</sheetData>
  <mergeCells count="9">
    <mergeCell ref="A38:N38"/>
    <mergeCell ref="A39:N39"/>
    <mergeCell ref="A40:N40"/>
    <mergeCell ref="A41:N41"/>
    <mergeCell ref="A1:N1"/>
    <mergeCell ref="A3:F3"/>
    <mergeCell ref="H3:N3"/>
    <mergeCell ref="A36:N36"/>
    <mergeCell ref="A37:N37"/>
  </mergeCells>
  <phoneticPr fontId="22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① 마스터테이블</vt:lpstr>
      <vt:lpstr>② 생산실적_원본</vt:lpstr>
      <vt:lpstr>③ 기초통계_실습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hanjeongseop@gmail.com</cp:lastModifiedBy>
  <cp:revision>0</cp:revision>
  <dcterms:created xsi:type="dcterms:W3CDTF">2026-04-05T14:06:18Z</dcterms:created>
  <dcterms:modified xsi:type="dcterms:W3CDTF">2026-04-20T22:57:28Z</dcterms:modified>
  <dc:language>en-US</dc:language>
</cp:coreProperties>
</file>