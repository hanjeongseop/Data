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원본데이터" sheetId="1" state="visible" r:id="rId3"/>
    <sheet name="② 실습 가이드" sheetId="2" state="visible" r:id="rId4"/>
    <sheet name="③ 분석시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<sst xmlns="http://schemas.openxmlformats.org/spreadsheetml/2006/main" count="1273" uniqueCount="327">
  <si>
    <r>
      <rPr>
        <b val="true"/>
        <sz val="13"/>
        <color rgb="FFFFFFFF"/>
        <rFont val="Noto Sans CJK SC"/>
        <family val="2"/>
      </rPr>
      <t xml:space="preserve">스마트공장 생산</t>
    </r>
    <r>
      <rPr>
        <b val="true"/>
        <sz val="13"/>
        <color rgb="FFFFFFFF"/>
        <rFont val="Arial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품질 데이터 </t>
    </r>
    <r>
      <rPr>
        <b val="true"/>
        <sz val="13"/>
        <color rgb="FFFFFFFF"/>
        <rFont val="Arial"/>
        <family val="0"/>
        <charset val="1"/>
      </rPr>
      <t xml:space="preserve">(2026</t>
    </r>
    <r>
      <rPr>
        <b val="true"/>
        <sz val="13"/>
        <color rgb="FFFFFFFF"/>
        <rFont val="Noto Sans CJK SC"/>
        <family val="2"/>
      </rPr>
      <t xml:space="preserve">년 </t>
    </r>
    <r>
      <rPr>
        <b val="true"/>
        <sz val="13"/>
        <color rgb="FFFFFFFF"/>
        <rFont val="Arial"/>
        <family val="0"/>
        <charset val="1"/>
      </rPr>
      <t xml:space="preserve">1~4</t>
    </r>
    <r>
      <rPr>
        <b val="true"/>
        <sz val="13"/>
        <color rgb="FFFFFFFF"/>
        <rFont val="Noto Sans CJK SC"/>
        <family val="2"/>
      </rPr>
      <t xml:space="preserve">월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</si>
  <si>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808080"/>
        <rFont val="Noto Sans CJK SC"/>
        <family val="2"/>
      </rPr>
      <t xml:space="preserve">총 </t>
    </r>
    <r>
      <rPr>
        <i val="true"/>
        <sz val="10"/>
        <color rgb="FF808080"/>
        <rFont val="Arial"/>
        <family val="0"/>
        <charset val="1"/>
      </rPr>
      <t xml:space="preserve">150</t>
    </r>
    <r>
      <rPr>
        <i val="true"/>
        <sz val="10"/>
        <color rgb="FF808080"/>
        <rFont val="Noto Sans CJK SC"/>
        <family val="2"/>
      </rPr>
      <t xml:space="preserve">건 </t>
    </r>
    <r>
      <rPr>
        <i val="true"/>
        <sz val="10"/>
        <color rgb="FF808080"/>
        <rFont val="Arial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설비 </t>
    </r>
    <r>
      <rPr>
        <i val="true"/>
        <sz val="10"/>
        <color rgb="FF808080"/>
        <rFont val="Arial"/>
        <family val="0"/>
        <charset val="1"/>
      </rPr>
      <t xml:space="preserve">4</t>
    </r>
    <r>
      <rPr>
        <i val="true"/>
        <sz val="10"/>
        <color rgb="FF808080"/>
        <rFont val="Noto Sans CJK SC"/>
        <family val="2"/>
      </rPr>
      <t xml:space="preserve">대 </t>
    </r>
    <r>
      <rPr>
        <i val="true"/>
        <sz val="10"/>
        <color rgb="FF808080"/>
        <rFont val="Arial"/>
        <family val="0"/>
        <charset val="1"/>
      </rPr>
      <t xml:space="preserve">· </t>
    </r>
    <r>
      <rPr>
        <i val="true"/>
        <sz val="10"/>
        <color rgb="FF808080"/>
        <rFont val="Noto Sans CJK SC"/>
        <family val="2"/>
      </rPr>
      <t xml:space="preserve">제품 </t>
    </r>
    <r>
      <rPr>
        <i val="true"/>
        <sz val="10"/>
        <color rgb="FF808080"/>
        <rFont val="Arial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종 </t>
    </r>
    <r>
      <rPr>
        <i val="true"/>
        <sz val="10"/>
        <color rgb="FF808080"/>
        <rFont val="Arial"/>
        <family val="0"/>
        <charset val="1"/>
      </rPr>
      <t xml:space="preserve">· 2026-01-01 ~ 2026-04-10</t>
    </r>
  </si>
  <si>
    <t xml:space="preserve">LOT_ID</t>
  </si>
  <si>
    <t xml:space="preserve">날짜</t>
  </si>
  <si>
    <t xml:space="preserve">월</t>
  </si>
  <si>
    <t xml:space="preserve">제품</t>
  </si>
  <si>
    <t xml:space="preserve">설비</t>
  </si>
  <si>
    <t xml:space="preserve">공정</t>
  </si>
  <si>
    <t xml:space="preserve">교대</t>
  </si>
  <si>
    <t xml:space="preserve">작업자</t>
  </si>
  <si>
    <t xml:space="preserve">생산수량</t>
  </si>
  <si>
    <t xml:space="preserve">불량수량</t>
  </si>
  <si>
    <t xml:space="preserve">불량유형</t>
  </si>
  <si>
    <r>
      <rPr>
        <b val="true"/>
        <sz val="10"/>
        <color rgb="FFFFFFFF"/>
        <rFont val="Noto Sans CJK SC"/>
        <family val="2"/>
      </rPr>
      <t xml:space="preserve">사이클타임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</si>
  <si>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L0001</t>
  </si>
  <si>
    <t xml:space="preserve">2026-01-01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</si>
  <si>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제품</t>
    </r>
  </si>
  <si>
    <t xml:space="preserve">CNC-01</t>
  </si>
  <si>
    <t xml:space="preserve">가공</t>
  </si>
  <si>
    <t xml:space="preserve">주간</t>
  </si>
  <si>
    <r>
      <rPr>
        <sz val="10"/>
        <rFont val="Arial"/>
        <family val="0"/>
        <charset val="1"/>
      </rPr>
      <t xml:space="preserve">E001_</t>
    </r>
    <r>
      <rPr>
        <sz val="10"/>
        <rFont val="Noto Sans CJK SC"/>
        <family val="2"/>
      </rPr>
      <t xml:space="preserve">김민준</t>
    </r>
  </si>
  <si>
    <t xml:space="preserve">표면불량</t>
  </si>
  <si>
    <t xml:space="preserve">L0002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</si>
  <si>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제품</t>
    </r>
  </si>
  <si>
    <t xml:space="preserve">스크래치</t>
  </si>
  <si>
    <t xml:space="preserve">L0003</t>
  </si>
  <si>
    <t xml:space="preserve">2026-01-02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</si>
  <si>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제품</t>
    </r>
  </si>
  <si>
    <t xml:space="preserve">CNC-02</t>
  </si>
  <si>
    <t xml:space="preserve">야간</t>
  </si>
  <si>
    <r>
      <rPr>
        <sz val="10"/>
        <rFont val="Arial"/>
        <family val="0"/>
        <charset val="1"/>
      </rPr>
      <t xml:space="preserve">E006_</t>
    </r>
    <r>
      <rPr>
        <sz val="10"/>
        <rFont val="Noto Sans CJK SC"/>
        <family val="2"/>
      </rPr>
      <t xml:space="preserve">한도윤</t>
    </r>
  </si>
  <si>
    <t xml:space="preserve">L0004</t>
  </si>
  <si>
    <r>
      <rPr>
        <sz val="10"/>
        <rFont val="Arial"/>
        <family val="0"/>
        <charset val="1"/>
      </rPr>
      <t xml:space="preserve">E005_</t>
    </r>
    <r>
      <rPr>
        <sz val="10"/>
        <rFont val="Noto Sans CJK SC"/>
        <family val="2"/>
      </rPr>
      <t xml:space="preserve">최유진</t>
    </r>
  </si>
  <si>
    <t xml:space="preserve">L0005</t>
  </si>
  <si>
    <t xml:space="preserve">CNC-03</t>
  </si>
  <si>
    <t xml:space="preserve">L0006</t>
  </si>
  <si>
    <t xml:space="preserve">2026-01-03</t>
  </si>
  <si>
    <t xml:space="preserve">CMM-01</t>
  </si>
  <si>
    <t xml:space="preserve">검사</t>
  </si>
  <si>
    <r>
      <rPr>
        <sz val="10"/>
        <rFont val="Arial"/>
        <family val="0"/>
        <charset val="1"/>
      </rPr>
      <t xml:space="preserve">E003_</t>
    </r>
    <r>
      <rPr>
        <sz val="10"/>
        <rFont val="Noto Sans CJK SC"/>
        <family val="2"/>
      </rPr>
      <t xml:space="preserve">박지호</t>
    </r>
  </si>
  <si>
    <t xml:space="preserve">L0007</t>
  </si>
  <si>
    <r>
      <rPr>
        <sz val="10"/>
        <rFont val="Arial"/>
        <family val="0"/>
        <charset val="1"/>
      </rPr>
      <t xml:space="preserve">E004_</t>
    </r>
    <r>
      <rPr>
        <sz val="10"/>
        <rFont val="Noto Sans CJK SC"/>
        <family val="2"/>
      </rPr>
      <t xml:space="preserve">정하늘</t>
    </r>
  </si>
  <si>
    <t xml:space="preserve">L0008</t>
  </si>
  <si>
    <t xml:space="preserve">2026-01-04</t>
  </si>
  <si>
    <t xml:space="preserve">L0009</t>
  </si>
  <si>
    <t xml:space="preserve">2026-01-05</t>
  </si>
  <si>
    <r>
      <rPr>
        <sz val="10"/>
        <rFont val="Arial"/>
        <family val="0"/>
        <charset val="1"/>
      </rPr>
      <t xml:space="preserve">E002_</t>
    </r>
    <r>
      <rPr>
        <sz val="10"/>
        <rFont val="Noto Sans CJK SC"/>
        <family val="2"/>
      </rPr>
      <t xml:space="preserve">이수연</t>
    </r>
  </si>
  <si>
    <t xml:space="preserve">치수불량</t>
  </si>
  <si>
    <t xml:space="preserve">L0010</t>
  </si>
  <si>
    <t xml:space="preserve">L0011</t>
  </si>
  <si>
    <t xml:space="preserve">2026-01-06</t>
  </si>
  <si>
    <t xml:space="preserve">L0012</t>
  </si>
  <si>
    <t xml:space="preserve">L0013</t>
  </si>
  <si>
    <t xml:space="preserve">L0014</t>
  </si>
  <si>
    <t xml:space="preserve">2026-01-07</t>
  </si>
  <si>
    <t xml:space="preserve">L0015</t>
  </si>
  <si>
    <t xml:space="preserve">2026-01-08</t>
  </si>
  <si>
    <t xml:space="preserve">L0016</t>
  </si>
  <si>
    <t xml:space="preserve">L0017</t>
  </si>
  <si>
    <t xml:space="preserve">L0018</t>
  </si>
  <si>
    <t xml:space="preserve">2026-01-09</t>
  </si>
  <si>
    <t xml:space="preserve">L0019</t>
  </si>
  <si>
    <t xml:space="preserve">L0020</t>
  </si>
  <si>
    <t xml:space="preserve">2026-01-10</t>
  </si>
  <si>
    <t xml:space="preserve">L0021</t>
  </si>
  <si>
    <t xml:space="preserve">2026-01-11</t>
  </si>
  <si>
    <t xml:space="preserve">L0022</t>
  </si>
  <si>
    <t xml:space="preserve">2026-01-12</t>
  </si>
  <si>
    <t xml:space="preserve">L0023</t>
  </si>
  <si>
    <t xml:space="preserve">L0024</t>
  </si>
  <si>
    <t xml:space="preserve">2026-01-13</t>
  </si>
  <si>
    <t xml:space="preserve">L0025</t>
  </si>
  <si>
    <t xml:space="preserve">2026-01-14</t>
  </si>
  <si>
    <t xml:space="preserve">L0026</t>
  </si>
  <si>
    <t xml:space="preserve">L0027</t>
  </si>
  <si>
    <t xml:space="preserve">L0028</t>
  </si>
  <si>
    <t xml:space="preserve">2026-01-15</t>
  </si>
  <si>
    <t xml:space="preserve">L0029</t>
  </si>
  <si>
    <t xml:space="preserve">2026-01-16</t>
  </si>
  <si>
    <t xml:space="preserve">L0030</t>
  </si>
  <si>
    <t xml:space="preserve">L0031</t>
  </si>
  <si>
    <t xml:space="preserve">2026-01-17</t>
  </si>
  <si>
    <t xml:space="preserve">L0032</t>
  </si>
  <si>
    <t xml:space="preserve">2026-01-18</t>
  </si>
  <si>
    <t xml:space="preserve">L0033</t>
  </si>
  <si>
    <t xml:space="preserve">2026-01-19</t>
  </si>
  <si>
    <t xml:space="preserve">L0034</t>
  </si>
  <si>
    <t xml:space="preserve">2026-01-20</t>
  </si>
  <si>
    <t xml:space="preserve">L0035</t>
  </si>
  <si>
    <t xml:space="preserve">2026-01-21</t>
  </si>
  <si>
    <t xml:space="preserve">L0036</t>
  </si>
  <si>
    <t xml:space="preserve">2026-01-22</t>
  </si>
  <si>
    <t xml:space="preserve">L0037</t>
  </si>
  <si>
    <t xml:space="preserve">L0038</t>
  </si>
  <si>
    <t xml:space="preserve">2026-01-23</t>
  </si>
  <si>
    <t xml:space="preserve">L0039</t>
  </si>
  <si>
    <t xml:space="preserve">L0040</t>
  </si>
  <si>
    <t xml:space="preserve">2026-01-24</t>
  </si>
  <si>
    <t xml:space="preserve">L0041</t>
  </si>
  <si>
    <t xml:space="preserve">2026-01-25</t>
  </si>
  <si>
    <t xml:space="preserve">L0042</t>
  </si>
  <si>
    <t xml:space="preserve">2026-01-26</t>
  </si>
  <si>
    <t xml:space="preserve">L0043</t>
  </si>
  <si>
    <t xml:space="preserve">2026-01-27</t>
  </si>
  <si>
    <t xml:space="preserve">L0044</t>
  </si>
  <si>
    <t xml:space="preserve">L0045</t>
  </si>
  <si>
    <t xml:space="preserve">2026-01-28</t>
  </si>
  <si>
    <t xml:space="preserve">L0046</t>
  </si>
  <si>
    <t xml:space="preserve">2026-01-29</t>
  </si>
  <si>
    <t xml:space="preserve">L0047</t>
  </si>
  <si>
    <t xml:space="preserve">L0048</t>
  </si>
  <si>
    <t xml:space="preserve">2026-01-30</t>
  </si>
  <si>
    <t xml:space="preserve">L0049</t>
  </si>
  <si>
    <t xml:space="preserve">2026-01-31</t>
  </si>
  <si>
    <t xml:space="preserve">L0050</t>
  </si>
  <si>
    <t xml:space="preserve">2026-02-01</t>
  </si>
  <si>
    <t xml:space="preserve">L0051</t>
  </si>
  <si>
    <t xml:space="preserve">2026-02-02</t>
  </si>
  <si>
    <t xml:space="preserve">L0052</t>
  </si>
  <si>
    <t xml:space="preserve">L0053</t>
  </si>
  <si>
    <t xml:space="preserve">2026-02-03</t>
  </si>
  <si>
    <t xml:space="preserve">L0054</t>
  </si>
  <si>
    <t xml:space="preserve">2026-02-04</t>
  </si>
  <si>
    <t xml:space="preserve">L0055</t>
  </si>
  <si>
    <t xml:space="preserve">2026-02-05</t>
  </si>
  <si>
    <t xml:space="preserve">L0056</t>
  </si>
  <si>
    <t xml:space="preserve">L0057</t>
  </si>
  <si>
    <t xml:space="preserve">2026-02-06</t>
  </si>
  <si>
    <t xml:space="preserve">L0058</t>
  </si>
  <si>
    <t xml:space="preserve">L0059</t>
  </si>
  <si>
    <t xml:space="preserve">2026-02-07</t>
  </si>
  <si>
    <t xml:space="preserve">L0060</t>
  </si>
  <si>
    <t xml:space="preserve">L0061</t>
  </si>
  <si>
    <t xml:space="preserve">2026-02-08</t>
  </si>
  <si>
    <t xml:space="preserve">L0062</t>
  </si>
  <si>
    <t xml:space="preserve">L0063</t>
  </si>
  <si>
    <t xml:space="preserve">2026-02-09</t>
  </si>
  <si>
    <t xml:space="preserve">L0064</t>
  </si>
  <si>
    <t xml:space="preserve">2026-02-10</t>
  </si>
  <si>
    <t xml:space="preserve">L0065</t>
  </si>
  <si>
    <t xml:space="preserve">2026-02-11</t>
  </si>
  <si>
    <t xml:space="preserve">L0066</t>
  </si>
  <si>
    <t xml:space="preserve">L0067</t>
  </si>
  <si>
    <t xml:space="preserve">L0068</t>
  </si>
  <si>
    <t xml:space="preserve">2026-02-12</t>
  </si>
  <si>
    <t xml:space="preserve">L0069</t>
  </si>
  <si>
    <t xml:space="preserve">L0070</t>
  </si>
  <si>
    <t xml:space="preserve">2026-02-13</t>
  </si>
  <si>
    <t xml:space="preserve">L0071</t>
  </si>
  <si>
    <t xml:space="preserve">2026-02-14</t>
  </si>
  <si>
    <t xml:space="preserve">L0072</t>
  </si>
  <si>
    <t xml:space="preserve">L0073</t>
  </si>
  <si>
    <t xml:space="preserve">2026-02-15</t>
  </si>
  <si>
    <t xml:space="preserve">L0074</t>
  </si>
  <si>
    <t xml:space="preserve">L0075</t>
  </si>
  <si>
    <t xml:space="preserve">2026-02-16</t>
  </si>
  <si>
    <t xml:space="preserve">L0076</t>
  </si>
  <si>
    <t xml:space="preserve">2026-02-17</t>
  </si>
  <si>
    <t xml:space="preserve">L0077</t>
  </si>
  <si>
    <t xml:space="preserve">2026-02-18</t>
  </si>
  <si>
    <t xml:space="preserve">L0078</t>
  </si>
  <si>
    <t xml:space="preserve">2026-02-19</t>
  </si>
  <si>
    <t xml:space="preserve">L0079</t>
  </si>
  <si>
    <t xml:space="preserve">L0080</t>
  </si>
  <si>
    <t xml:space="preserve">2026-02-20</t>
  </si>
  <si>
    <t xml:space="preserve">L0081</t>
  </si>
  <si>
    <t xml:space="preserve">2026-02-21</t>
  </si>
  <si>
    <t xml:space="preserve">L0082</t>
  </si>
  <si>
    <t xml:space="preserve">2026-02-22</t>
  </si>
  <si>
    <t xml:space="preserve">L0083</t>
  </si>
  <si>
    <t xml:space="preserve">L0084</t>
  </si>
  <si>
    <t xml:space="preserve">2026-02-23</t>
  </si>
  <si>
    <t xml:space="preserve">L0085</t>
  </si>
  <si>
    <t xml:space="preserve">L0086</t>
  </si>
  <si>
    <t xml:space="preserve">2026-02-24</t>
  </si>
  <si>
    <t xml:space="preserve">L0087</t>
  </si>
  <si>
    <t xml:space="preserve">2026-02-25</t>
  </si>
  <si>
    <t xml:space="preserve">L0088</t>
  </si>
  <si>
    <t xml:space="preserve">2026-02-26</t>
  </si>
  <si>
    <t xml:space="preserve">L0089</t>
  </si>
  <si>
    <t xml:space="preserve">L0090</t>
  </si>
  <si>
    <t xml:space="preserve">L0091</t>
  </si>
  <si>
    <t xml:space="preserve">2026-02-27</t>
  </si>
  <si>
    <t xml:space="preserve">L0092</t>
  </si>
  <si>
    <t xml:space="preserve">L0093</t>
  </si>
  <si>
    <t xml:space="preserve">2026-02-28</t>
  </si>
  <si>
    <t xml:space="preserve">L0094</t>
  </si>
  <si>
    <t xml:space="preserve">L0095</t>
  </si>
  <si>
    <t xml:space="preserve">2026-03-01</t>
  </si>
  <si>
    <t xml:space="preserve">L0096</t>
  </si>
  <si>
    <t xml:space="preserve">2026-03-02</t>
  </si>
  <si>
    <t xml:space="preserve">L0097</t>
  </si>
  <si>
    <t xml:space="preserve">L0098</t>
  </si>
  <si>
    <t xml:space="preserve">2026-03-03</t>
  </si>
  <si>
    <t xml:space="preserve">L0099</t>
  </si>
  <si>
    <t xml:space="preserve">2026-03-04</t>
  </si>
  <si>
    <t xml:space="preserve">L0100</t>
  </si>
  <si>
    <t xml:space="preserve">L0101</t>
  </si>
  <si>
    <t xml:space="preserve">L0102</t>
  </si>
  <si>
    <t xml:space="preserve">2026-03-05</t>
  </si>
  <si>
    <t xml:space="preserve">L0103</t>
  </si>
  <si>
    <t xml:space="preserve">L0104</t>
  </si>
  <si>
    <t xml:space="preserve">2026-03-06</t>
  </si>
  <si>
    <t xml:space="preserve">L0105</t>
  </si>
  <si>
    <t xml:space="preserve">2026-03-07</t>
  </si>
  <si>
    <t xml:space="preserve">L0106</t>
  </si>
  <si>
    <t xml:space="preserve">2026-03-08</t>
  </si>
  <si>
    <t xml:space="preserve">L0107</t>
  </si>
  <si>
    <t xml:space="preserve">2026-03-09</t>
  </si>
  <si>
    <t xml:space="preserve">L0108</t>
  </si>
  <si>
    <t xml:space="preserve">2026-03-10</t>
  </si>
  <si>
    <t xml:space="preserve">L0109</t>
  </si>
  <si>
    <t xml:space="preserve">2026-03-11</t>
  </si>
  <si>
    <t xml:space="preserve">L0110</t>
  </si>
  <si>
    <t xml:space="preserve">2026-03-12</t>
  </si>
  <si>
    <t xml:space="preserve">L0111</t>
  </si>
  <si>
    <t xml:space="preserve">2026-03-13</t>
  </si>
  <si>
    <t xml:space="preserve">L0112</t>
  </si>
  <si>
    <t xml:space="preserve">L0113</t>
  </si>
  <si>
    <t xml:space="preserve">2026-03-14</t>
  </si>
  <si>
    <t xml:space="preserve">L0114</t>
  </si>
  <si>
    <t xml:space="preserve">2026-03-15</t>
  </si>
  <si>
    <t xml:space="preserve">L0115</t>
  </si>
  <si>
    <t xml:space="preserve">L0116</t>
  </si>
  <si>
    <t xml:space="preserve">2026-03-16</t>
  </si>
  <si>
    <t xml:space="preserve">L0117</t>
  </si>
  <si>
    <t xml:space="preserve">L0118</t>
  </si>
  <si>
    <t xml:space="preserve">L0119</t>
  </si>
  <si>
    <t xml:space="preserve">2026-03-17</t>
  </si>
  <si>
    <t xml:space="preserve">L0120</t>
  </si>
  <si>
    <t xml:space="preserve">L0121</t>
  </si>
  <si>
    <t xml:space="preserve">2026-03-18</t>
  </si>
  <si>
    <t xml:space="preserve">L0122</t>
  </si>
  <si>
    <t xml:space="preserve">2026-03-19</t>
  </si>
  <si>
    <t xml:space="preserve">L0123</t>
  </si>
  <si>
    <t xml:space="preserve">L0124</t>
  </si>
  <si>
    <t xml:space="preserve">2026-03-20</t>
  </si>
  <si>
    <t xml:space="preserve">L0125</t>
  </si>
  <si>
    <t xml:space="preserve">2026-03-21</t>
  </si>
  <si>
    <t xml:space="preserve">L0126</t>
  </si>
  <si>
    <t xml:space="preserve">2026-03-22</t>
  </si>
  <si>
    <t xml:space="preserve">L0127</t>
  </si>
  <si>
    <t xml:space="preserve">2026-03-23</t>
  </si>
  <si>
    <t xml:space="preserve">L0128</t>
  </si>
  <si>
    <t xml:space="preserve">L0129</t>
  </si>
  <si>
    <t xml:space="preserve">2026-03-24</t>
  </si>
  <si>
    <t xml:space="preserve">L0130</t>
  </si>
  <si>
    <t xml:space="preserve">2026-03-25</t>
  </si>
  <si>
    <t xml:space="preserve">L0131</t>
  </si>
  <si>
    <t xml:space="preserve">2026-03-26</t>
  </si>
  <si>
    <t xml:space="preserve">L0132</t>
  </si>
  <si>
    <t xml:space="preserve">2026-03-27</t>
  </si>
  <si>
    <t xml:space="preserve">L0133</t>
  </si>
  <si>
    <t xml:space="preserve">2026-03-28</t>
  </si>
  <si>
    <t xml:space="preserve">L0134</t>
  </si>
  <si>
    <t xml:space="preserve">2026-03-29</t>
  </si>
  <si>
    <t xml:space="preserve">L0135</t>
  </si>
  <si>
    <t xml:space="preserve">2026-03-30</t>
  </si>
  <si>
    <t xml:space="preserve">L0136</t>
  </si>
  <si>
    <t xml:space="preserve">2026-03-31</t>
  </si>
  <si>
    <t xml:space="preserve">L0137</t>
  </si>
  <si>
    <t xml:space="preserve">L0138</t>
  </si>
  <si>
    <t xml:space="preserve">2026-04-01</t>
  </si>
  <si>
    <t xml:space="preserve">L0139</t>
  </si>
  <si>
    <t xml:space="preserve">L0140</t>
  </si>
  <si>
    <t xml:space="preserve">2026-04-02</t>
  </si>
  <si>
    <t xml:space="preserve">L0141</t>
  </si>
  <si>
    <t xml:space="preserve">2026-04-03</t>
  </si>
  <si>
    <t xml:space="preserve">L0142</t>
  </si>
  <si>
    <t xml:space="preserve">2026-04-04</t>
  </si>
  <si>
    <t xml:space="preserve">L0143</t>
  </si>
  <si>
    <t xml:space="preserve">2026-04-05</t>
  </si>
  <si>
    <t xml:space="preserve">L0144</t>
  </si>
  <si>
    <t xml:space="preserve">L0145</t>
  </si>
  <si>
    <t xml:space="preserve">2026-04-06</t>
  </si>
  <si>
    <t xml:space="preserve">L0146</t>
  </si>
  <si>
    <t xml:space="preserve">L0147</t>
  </si>
  <si>
    <t xml:space="preserve">2026-04-07</t>
  </si>
  <si>
    <t xml:space="preserve">L0148</t>
  </si>
  <si>
    <t xml:space="preserve">2026-04-08</t>
  </si>
  <si>
    <t xml:space="preserve">L0149</t>
  </si>
  <si>
    <t xml:space="preserve">2026-04-09</t>
  </si>
  <si>
    <t xml:space="preserve">L0150</t>
  </si>
  <si>
    <t xml:space="preserve">2026-04-10</t>
  </si>
  <si>
    <t xml:space="preserve">엑셀 시각화 실습 가이드 — 스마트공장 데이터</t>
  </si>
  <si>
    <t xml:space="preserve">각 실습 과제를 순서대로 따라하며 시각화 역량을 체험하세요</t>
  </si>
  <si>
    <r>
      <rPr>
        <b val="true"/>
        <sz val="11"/>
        <color rgb="FFFFFFFF"/>
        <rFont val="Noto Sans CJK SC"/>
        <family val="2"/>
      </rPr>
      <t xml:space="preserve">실습 </t>
    </r>
    <r>
      <rPr>
        <b val="true"/>
        <sz val="11"/>
        <color rgb="FFFFFFFF"/>
        <rFont val="Arial"/>
        <family val="0"/>
        <charset val="1"/>
      </rPr>
      <t xml:space="preserve">1 · </t>
    </r>
    <r>
      <rPr>
        <b val="true"/>
        <sz val="11"/>
        <color rgb="FFFFFFFF"/>
        <rFont val="Noto Sans CJK SC"/>
        <family val="2"/>
      </rPr>
      <t xml:space="preserve">피벗테이블로 요약 분석하기</t>
    </r>
  </si>
  <si>
    <r>
      <rPr>
        <sz val="10"/>
        <color rgb="FF404040"/>
        <rFont val="Noto Sans CJK SC"/>
        <family val="2"/>
      </rPr>
      <t xml:space="preserve">① 원본데이터 시트 전체 선택 </t>
    </r>
    <r>
      <rPr>
        <sz val="10"/>
        <color rgb="FF404040"/>
        <rFont val="Arial"/>
        <family val="0"/>
        <charset val="1"/>
      </rPr>
      <t xml:space="preserve">(Ctrl+A)</t>
    </r>
  </si>
  <si>
    <r>
      <rPr>
        <sz val="10"/>
        <color rgb="FF404040"/>
        <rFont val="Arial"/>
        <family val="0"/>
        <charset val="1"/>
      </rPr>
      <t xml:space="preserve">② 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피벗테이블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새 워크시트</t>
    </r>
  </si>
  <si>
    <r>
      <rPr>
        <sz val="10"/>
        <color rgb="FF404040"/>
        <rFont val="Noto Sans CJK SC"/>
        <family val="2"/>
      </rPr>
      <t xml:space="preserve">③ 행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설비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열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교대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값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불량수량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합계</t>
    </r>
    <r>
      <rPr>
        <sz val="10"/>
        <color rgb="FF404040"/>
        <rFont val="Arial"/>
        <family val="0"/>
        <charset val="1"/>
      </rPr>
      <t xml:space="preserve">)</t>
    </r>
  </si>
  <si>
    <r>
      <rPr>
        <sz val="10"/>
        <color rgb="FF404040"/>
        <rFont val="Noto Sans CJK SC"/>
        <family val="2"/>
      </rPr>
      <t xml:space="preserve">④ 행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월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열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제품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값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생산수량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합계</t>
    </r>
    <r>
      <rPr>
        <sz val="10"/>
        <color rgb="FF404040"/>
        <rFont val="Arial"/>
        <family val="0"/>
        <charset val="1"/>
      </rPr>
      <t xml:space="preserve">) </t>
    </r>
    <r>
      <rPr>
        <sz val="10"/>
        <color rgb="FF404040"/>
        <rFont val="Noto Sans CJK SC"/>
        <family val="2"/>
      </rPr>
      <t xml:space="preserve">로 변경해보기</t>
    </r>
  </si>
  <si>
    <r>
      <rPr>
        <b val="true"/>
        <sz val="10"/>
        <color rgb="FF7B3F00"/>
        <rFont val="Noto Sans CJK SC"/>
        <family val="2"/>
      </rPr>
      <t xml:space="preserve">❓ 불량이 가장 많은 설비는</t>
    </r>
    <r>
      <rPr>
        <b val="true"/>
        <sz val="10"/>
        <color rgb="FF7B3F00"/>
        <rFont val="Arial"/>
        <family val="0"/>
        <charset val="1"/>
      </rPr>
      <t xml:space="preserve">? </t>
    </r>
    <r>
      <rPr>
        <b val="true"/>
        <sz val="10"/>
        <color rgb="FF7B3F00"/>
        <rFont val="Noto Sans CJK SC"/>
        <family val="2"/>
      </rPr>
      <t xml:space="preserve">야간 교대가 더 많은가</t>
    </r>
    <r>
      <rPr>
        <b val="true"/>
        <sz val="10"/>
        <color rgb="FF7B3F00"/>
        <rFont val="Arial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</si>
  <si>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실습 </t>
    </r>
    <r>
      <rPr>
        <b val="true"/>
        <sz val="11"/>
        <color rgb="FFFFFFFF"/>
        <rFont val="Arial"/>
        <family val="0"/>
        <charset val="1"/>
      </rPr>
      <t xml:space="preserve">2 · </t>
    </r>
    <r>
      <rPr>
        <b val="true"/>
        <sz val="11"/>
        <color rgb="FFFFFFFF"/>
        <rFont val="Noto Sans CJK SC"/>
        <family val="2"/>
      </rPr>
      <t xml:space="preserve">막대 차트 — 설비별 불량률 비교</t>
    </r>
  </si>
  <si>
    <r>
      <rPr>
        <sz val="10"/>
        <color rgb="FF404040"/>
        <rFont val="Noto Sans CJK SC"/>
        <family val="2"/>
      </rPr>
      <t xml:space="preserve">① ③ 분석시트의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설비별 요약</t>
    </r>
    <r>
      <rPr>
        <sz val="10"/>
        <color rgb="FF404040"/>
        <rFont val="Arial"/>
        <family val="0"/>
        <charset val="1"/>
      </rPr>
      <t xml:space="preserve">" </t>
    </r>
    <r>
      <rPr>
        <sz val="10"/>
        <color rgb="FF404040"/>
        <rFont val="Noto Sans CJK SC"/>
        <family val="2"/>
      </rPr>
      <t xml:space="preserve">표 선택</t>
    </r>
  </si>
  <si>
    <r>
      <rPr>
        <sz val="10"/>
        <color rgb="FF404040"/>
        <rFont val="Arial"/>
        <family val="0"/>
        <charset val="1"/>
      </rPr>
      <t xml:space="preserve">② 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차트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묶은 막대형</t>
    </r>
  </si>
  <si>
    <r>
      <rPr>
        <sz val="10"/>
        <color rgb="FF404040"/>
        <rFont val="Noto Sans CJK SC"/>
        <family val="2"/>
      </rPr>
      <t xml:space="preserve">③ 차트 제목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축 레이블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데이터 레이블 추가</t>
    </r>
  </si>
  <si>
    <r>
      <rPr>
        <b val="true"/>
        <sz val="10"/>
        <color rgb="FF7B3F00"/>
        <rFont val="Noto Sans CJK SC"/>
        <family val="2"/>
      </rPr>
      <t xml:space="preserve">❓ 어떤 설비가 가장 불안정한가</t>
    </r>
    <r>
      <rPr>
        <b val="true"/>
        <sz val="10"/>
        <color rgb="FF7B3F00"/>
        <rFont val="Arial"/>
        <family val="0"/>
        <charset val="1"/>
      </rPr>
      <t xml:space="preserve">? </t>
    </r>
    <r>
      <rPr>
        <b val="true"/>
        <sz val="10"/>
        <color rgb="FF7B3F00"/>
        <rFont val="Noto Sans CJK SC"/>
        <family val="2"/>
      </rPr>
      <t xml:space="preserve">이유는</t>
    </r>
    <r>
      <rPr>
        <b val="true"/>
        <sz val="10"/>
        <color rgb="FF7B3F00"/>
        <rFont val="Arial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</si>
  <si>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실습 </t>
    </r>
    <r>
      <rPr>
        <b val="true"/>
        <sz val="11"/>
        <color rgb="FFFFFFFF"/>
        <rFont val="Arial"/>
        <family val="0"/>
        <charset val="1"/>
      </rPr>
      <t xml:space="preserve">3 · </t>
    </r>
    <r>
      <rPr>
        <b val="true"/>
        <sz val="11"/>
        <color rgb="FFFFFFFF"/>
        <rFont val="Noto Sans CJK SC"/>
        <family val="2"/>
      </rPr>
      <t xml:space="preserve">꺾은선 차트 — 월별 불량률 추세</t>
    </r>
  </si>
  <si>
    <r>
      <rPr>
        <sz val="10"/>
        <color rgb="FF404040"/>
        <rFont val="Noto Sans CJK SC"/>
        <family val="2"/>
      </rPr>
      <t xml:space="preserve">① ③ 분석시트의 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월별 불량률 추이</t>
    </r>
    <r>
      <rPr>
        <sz val="10"/>
        <color rgb="FF404040"/>
        <rFont val="Arial"/>
        <family val="0"/>
        <charset val="1"/>
      </rPr>
      <t xml:space="preserve">" </t>
    </r>
    <r>
      <rPr>
        <sz val="10"/>
        <color rgb="FF404040"/>
        <rFont val="Noto Sans CJK SC"/>
        <family val="2"/>
      </rPr>
      <t xml:space="preserve">표 선택</t>
    </r>
  </si>
  <si>
    <r>
      <rPr>
        <sz val="10"/>
        <color rgb="FF404040"/>
        <rFont val="Arial"/>
        <family val="0"/>
        <charset val="1"/>
      </rPr>
      <t xml:space="preserve">② 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차트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꺾은선형</t>
    </r>
  </si>
  <si>
    <r>
      <rPr>
        <sz val="10"/>
        <color rgb="FF404040"/>
        <rFont val="Arial"/>
        <family val="0"/>
        <charset val="1"/>
      </rPr>
      <t xml:space="preserve">③ 2</t>
    </r>
    <r>
      <rPr>
        <sz val="10"/>
        <color rgb="FF404040"/>
        <rFont val="Noto Sans CJK SC"/>
        <family val="2"/>
      </rPr>
      <t xml:space="preserve">월 </t>
    </r>
    <r>
      <rPr>
        <sz val="10"/>
        <color rgb="FF404040"/>
        <rFont val="Arial"/>
        <family val="0"/>
        <charset val="1"/>
      </rPr>
      <t xml:space="preserve">15</t>
    </r>
    <r>
      <rPr>
        <sz val="10"/>
        <color rgb="FF404040"/>
        <rFont val="Noto Sans CJK SC"/>
        <family val="2"/>
      </rPr>
      <t xml:space="preserve">일 이후 추세 변화에 주목하기</t>
    </r>
  </si>
  <si>
    <r>
      <rPr>
        <b val="true"/>
        <sz val="10"/>
        <color rgb="FF7B3F00"/>
        <rFont val="Noto Sans CJK SC"/>
        <family val="2"/>
      </rPr>
      <t xml:space="preserve">❓ 언제부터 불량률이 줄었는가</t>
    </r>
    <r>
      <rPr>
        <b val="true"/>
        <sz val="10"/>
        <color rgb="FF7B3F00"/>
        <rFont val="Arial"/>
        <family val="0"/>
        <charset val="1"/>
      </rPr>
      <t xml:space="preserve">? </t>
    </r>
    <r>
      <rPr>
        <b val="true"/>
        <sz val="10"/>
        <color rgb="FF7B3F00"/>
        <rFont val="Noto Sans CJK SC"/>
        <family val="2"/>
      </rPr>
      <t xml:space="preserve">무엇이 바뀌었을까</t>
    </r>
    <r>
      <rPr>
        <b val="true"/>
        <sz val="10"/>
        <color rgb="FF7B3F00"/>
        <rFont val="Arial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</si>
  <si>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실습 </t>
    </r>
    <r>
      <rPr>
        <b val="true"/>
        <sz val="11"/>
        <color rgb="FFFFFFFF"/>
        <rFont val="Arial"/>
        <family val="0"/>
        <charset val="1"/>
      </rPr>
      <t xml:space="preserve">4 · </t>
    </r>
    <r>
      <rPr>
        <b val="true"/>
        <sz val="11"/>
        <color rgb="FFFFFFFF"/>
        <rFont val="Noto Sans CJK SC"/>
        <family val="2"/>
      </rPr>
      <t xml:space="preserve">히스토그램 — 사이클타임 분포 비교</t>
    </r>
  </si>
  <si>
    <t xml:space="preserve">① 원본데이터에서 설비별 사이클타임 열 선택</t>
  </si>
  <si>
    <r>
      <rPr>
        <sz val="10"/>
        <color rgb="FF404040"/>
        <rFont val="Arial"/>
        <family val="0"/>
        <charset val="1"/>
      </rPr>
      <t xml:space="preserve">② 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차트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히스토그램</t>
    </r>
  </si>
  <si>
    <r>
      <rPr>
        <sz val="10"/>
        <color rgb="FF404040"/>
        <rFont val="Arial"/>
        <family val="0"/>
        <charset val="1"/>
      </rPr>
      <t xml:space="preserve">③ CNC </t>
    </r>
    <r>
      <rPr>
        <sz val="10"/>
        <color rgb="FF404040"/>
        <rFont val="Noto Sans CJK SC"/>
        <family val="2"/>
      </rPr>
      <t xml:space="preserve">설비와 </t>
    </r>
    <r>
      <rPr>
        <sz val="10"/>
        <color rgb="FF404040"/>
        <rFont val="Arial"/>
        <family val="0"/>
        <charset val="1"/>
      </rPr>
      <t xml:space="preserve">CMM-01 </t>
    </r>
    <r>
      <rPr>
        <sz val="10"/>
        <color rgb="FF404040"/>
        <rFont val="Noto Sans CJK SC"/>
        <family val="2"/>
      </rPr>
      <t xml:space="preserve">분포 모양 비교</t>
    </r>
  </si>
  <si>
    <r>
      <rPr>
        <b val="true"/>
        <sz val="10"/>
        <color rgb="FF7B3F00"/>
        <rFont val="Noto Sans CJK SC"/>
        <family val="2"/>
      </rPr>
      <t xml:space="preserve">❓ 분포가 좁은 공정 </t>
    </r>
    <r>
      <rPr>
        <b val="true"/>
        <sz val="10"/>
        <color rgb="FF7B3F00"/>
        <rFont val="Arial"/>
        <family val="0"/>
        <charset val="1"/>
      </rPr>
      <t xml:space="preserve">vs </t>
    </r>
    <r>
      <rPr>
        <b val="true"/>
        <sz val="10"/>
        <color rgb="FF7B3F00"/>
        <rFont val="Noto Sans CJK SC"/>
        <family val="2"/>
      </rPr>
      <t xml:space="preserve">넓은 공정 — 어느 쪽이 위험한가</t>
    </r>
    <r>
      <rPr>
        <b val="true"/>
        <sz val="10"/>
        <color rgb="FF7B3F00"/>
        <rFont val="Arial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</si>
  <si>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실습 </t>
    </r>
    <r>
      <rPr>
        <b val="true"/>
        <sz val="11"/>
        <color rgb="FFFFFFFF"/>
        <rFont val="Arial"/>
        <family val="0"/>
        <charset val="1"/>
      </rPr>
      <t xml:space="preserve">5 · </t>
    </r>
    <r>
      <rPr>
        <b val="true"/>
        <sz val="11"/>
        <color rgb="FFFFFFFF"/>
        <rFont val="Noto Sans CJK SC"/>
        <family val="2"/>
      </rPr>
      <t xml:space="preserve">토론 — 어떤 차트가 더 적합한가</t>
    </r>
    <r>
      <rPr>
        <b val="true"/>
        <sz val="11"/>
        <color rgb="FFFFFFFF"/>
        <rFont val="Arial"/>
        <family val="0"/>
        <charset val="1"/>
      </rPr>
      <t xml:space="preserve">?</t>
    </r>
  </si>
  <si>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교대별 불량률 차이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를 보여줄 때</t>
    </r>
  </si>
  <si>
    <r>
      <rPr>
        <sz val="10"/>
        <color rgb="FF404040"/>
        <rFont val="Noto Sans CJK SC"/>
        <family val="2"/>
      </rPr>
      <t xml:space="preserve">   → 막대 차트 </t>
    </r>
    <r>
      <rPr>
        <sz val="10"/>
        <color rgb="FF404040"/>
        <rFont val="Arial"/>
        <family val="0"/>
        <charset val="1"/>
      </rPr>
      <t xml:space="preserve">vs </t>
    </r>
    <r>
      <rPr>
        <sz val="10"/>
        <color rgb="FF404040"/>
        <rFont val="Noto Sans CJK SC"/>
        <family val="2"/>
      </rPr>
      <t xml:space="preserve">꺾은선 차트 중 어느 쪽이 나은가</t>
    </r>
    <r>
      <rPr>
        <sz val="10"/>
        <color rgb="FF404040"/>
        <rFont val="Arial"/>
        <family val="0"/>
        <charset val="1"/>
      </rPr>
      <t xml:space="preserve">?</t>
    </r>
  </si>
  <si>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월별 불량 수량 변화</t>
    </r>
    <r>
      <rPr>
        <sz val="10"/>
        <color rgb="FF404040"/>
        <rFont val="Arial"/>
        <family val="0"/>
        <charset val="1"/>
      </rPr>
      <t xml:space="preserve">"</t>
    </r>
    <r>
      <rPr>
        <sz val="10"/>
        <color rgb="FF404040"/>
        <rFont val="Noto Sans CJK SC"/>
        <family val="2"/>
      </rPr>
      <t xml:space="preserve">를 보여줄 때</t>
    </r>
  </si>
  <si>
    <r>
      <rPr>
        <b val="true"/>
        <sz val="10"/>
        <color rgb="FF7B3F00"/>
        <rFont val="Noto Sans CJK SC"/>
        <family val="2"/>
      </rPr>
      <t xml:space="preserve">❓ 차트 선택의 핵심 기준</t>
    </r>
    <r>
      <rPr>
        <b val="true"/>
        <sz val="10"/>
        <color rgb="FF7B3F00"/>
        <rFont val="Arial"/>
        <family val="0"/>
        <charset val="1"/>
      </rPr>
      <t xml:space="preserve">: </t>
    </r>
    <r>
      <rPr>
        <b val="true"/>
        <sz val="10"/>
        <color rgb="FF7B3F00"/>
        <rFont val="Noto Sans CJK SC"/>
        <family val="2"/>
      </rPr>
      <t xml:space="preserve">비교인가</t>
    </r>
    <r>
      <rPr>
        <b val="true"/>
        <sz val="10"/>
        <color rgb="FF7B3F00"/>
        <rFont val="Arial"/>
        <family val="0"/>
        <charset val="1"/>
      </rPr>
      <t xml:space="preserve">? </t>
    </r>
    <r>
      <rPr>
        <b val="true"/>
        <sz val="10"/>
        <color rgb="FF7B3F00"/>
        <rFont val="Noto Sans CJK SC"/>
        <family val="2"/>
      </rPr>
      <t xml:space="preserve">추세인가</t>
    </r>
    <r>
      <rPr>
        <b val="true"/>
        <sz val="10"/>
        <color rgb="FF7B3F00"/>
        <rFont val="Arial"/>
        <family val="0"/>
        <charset val="1"/>
      </rPr>
      <t xml:space="preserve">?</t>
    </r>
  </si>
  <si>
    <r>
      <rPr>
        <b val="true"/>
        <sz val="11"/>
        <color rgb="FFFFFFFF"/>
        <rFont val="Noto Sans CJK SC"/>
        <family val="2"/>
      </rPr>
      <t xml:space="preserve">■ 설비별 생산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불량 요약</t>
    </r>
  </si>
  <si>
    <t xml:space="preserve">생산합계</t>
  </si>
  <si>
    <t xml:space="preserve">불량합계</t>
  </si>
  <si>
    <r>
      <rPr>
        <b val="true"/>
        <sz val="10"/>
        <color rgb="FF1F4E79"/>
        <rFont val="Noto Sans CJK SC"/>
        <family val="2"/>
      </rPr>
      <t xml:space="preserve">불량률</t>
    </r>
    <r>
      <rPr>
        <b val="true"/>
        <sz val="10"/>
        <color rgb="FF1F4E79"/>
        <rFont val="Arial"/>
        <family val="0"/>
        <charset val="1"/>
      </rPr>
      <t xml:space="preserve">(%)</t>
    </r>
  </si>
  <si>
    <r>
      <rPr>
        <b val="true"/>
        <sz val="10"/>
        <color rgb="FF1F4E79"/>
        <rFont val="Noto Sans CJK SC"/>
        <family val="2"/>
      </rPr>
      <t xml:space="preserve">평균 사이클타임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Noto Sans CJK SC"/>
        <family val="2"/>
      </rPr>
      <t xml:space="preserve">초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</si>
  <si>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불량유형 최빈값</t>
  </si>
  <si>
    <t xml:space="preserve">합계</t>
  </si>
  <si>
    <r>
      <rPr>
        <b val="true"/>
        <sz val="11"/>
        <color rgb="FFFFFFFF"/>
        <rFont val="Noto Sans CJK SC"/>
        <family val="2"/>
      </rPr>
      <t xml:space="preserve">■ 교대별 생산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불량 요약</t>
    </r>
  </si>
  <si>
    <r>
      <rPr>
        <b val="true"/>
        <sz val="11"/>
        <color rgb="FFFFFFFF"/>
        <rFont val="Noto Sans CJK SC"/>
        <family val="2"/>
      </rPr>
      <t xml:space="preserve">■ 월별 불량률 추이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꺾은선 차트 실습용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</si>
  <si>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전월 대비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</si>
  <si>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</t>
    </r>
  </si>
  <si>
    <t xml:space="preserve">"-"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</si>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</sst>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404040"/>
      <name val="Noto Sans CJK SC"/>
      <family val="2"/>
    </font>
    <font>
      <sz val="10"/>
      <color rgb="FF404040"/>
      <name val="Arial"/>
      <family val="0"/>
      <charset val="1"/>
    </font>
    <font>
      <b val="true"/>
      <sz val="10"/>
      <color rgb="FF7B3F00"/>
      <name val="Noto Sans CJK SC"/>
      <family val="2"/>
    </font>
    <font>
      <b val="true"/>
      <sz val="10"/>
      <color rgb="FF7B3F00"/>
      <name val="Arial"/>
      <family val="0"/>
      <charset val="1"/>
    </font>
    <font>
      <b val="true"/>
      <sz val="10"/>
      <color rgb="FF1F4E79"/>
      <name val="Noto Sans CJK SC"/>
      <family val="2"/>
    </font>
    <font>
      <b val="true"/>
      <sz val="10"/>
      <color rgb="FF1F4E79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5" min="4" style="0" width="9"/>
    <col collapsed="false" customWidth="true" hidden="false" outlineLevel="0" max="7" min="6" style="0" width="7"/>
    <col collapsed="false" customWidth="true" hidden="false" outlineLevel="0" max="8" min="8" style="0" width="16"/>
    <col collapsed="false" customWidth="true" hidden="false" outlineLevel="0" max="11" min="9" style="0" width="1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16.5" hidden="false" customHeight="true" outlineLevel="0" collapsed="false">
      <c r="A4" s="5" t="s">
        <v>14</v>
      </c>
      <c r="B4" s="6" t="s">
        <v>15</v>
      </c>
      <c r="C4" s="5" t="n">
        <v>1</v>
      </c>
      <c r="D4" s="6" t="s">
        <v>16</v>
      </c>
      <c r="E4" s="5" t="s">
        <v>17</v>
      </c>
      <c r="F4" s="7" t="s">
        <v>18</v>
      </c>
      <c r="G4" s="7" t="s">
        <v>19</v>
      </c>
      <c r="H4" s="6" t="s">
        <v>20</v>
      </c>
      <c r="I4" s="8" t="n">
        <v>914</v>
      </c>
      <c r="J4" s="8" t="n">
        <v>28</v>
      </c>
      <c r="K4" s="7" t="s">
        <v>21</v>
      </c>
      <c r="L4" s="9" t="n">
        <v>59.1</v>
      </c>
    </row>
    <row r="5" customFormat="false" ht="16.5" hidden="false" customHeight="true" outlineLevel="0" collapsed="false">
      <c r="A5" s="10" t="s">
        <v>22</v>
      </c>
      <c r="B5" s="11" t="s">
        <v>15</v>
      </c>
      <c r="C5" s="10" t="n">
        <v>1</v>
      </c>
      <c r="D5" s="11" t="s">
        <v>23</v>
      </c>
      <c r="E5" s="10" t="s">
        <v>17</v>
      </c>
      <c r="F5" s="12" t="s">
        <v>18</v>
      </c>
      <c r="G5" s="12" t="s">
        <v>19</v>
      </c>
      <c r="H5" s="11" t="s">
        <v>20</v>
      </c>
      <c r="I5" s="13" t="n">
        <v>847</v>
      </c>
      <c r="J5" s="13" t="n">
        <v>17</v>
      </c>
      <c r="K5" s="12" t="s">
        <v>24</v>
      </c>
      <c r="L5" s="14" t="n">
        <v>61.5</v>
      </c>
    </row>
    <row r="6" customFormat="false" ht="16.5" hidden="false" customHeight="true" outlineLevel="0" collapsed="false">
      <c r="A6" s="5" t="s">
        <v>25</v>
      </c>
      <c r="B6" s="6" t="s">
        <v>26</v>
      </c>
      <c r="C6" s="5" t="n">
        <v>1</v>
      </c>
      <c r="D6" s="6" t="s">
        <v>27</v>
      </c>
      <c r="E6" s="5" t="s">
        <v>28</v>
      </c>
      <c r="F6" s="7" t="s">
        <v>18</v>
      </c>
      <c r="G6" s="7" t="s">
        <v>29</v>
      </c>
      <c r="H6" s="6" t="s">
        <v>30</v>
      </c>
      <c r="I6" s="8" t="n">
        <v>1014</v>
      </c>
      <c r="J6" s="8" t="n">
        <v>36</v>
      </c>
      <c r="K6" s="7" t="s">
        <v>24</v>
      </c>
      <c r="L6" s="9" t="n">
        <v>61.9</v>
      </c>
    </row>
    <row r="7" customFormat="false" ht="16.5" hidden="false" customHeight="true" outlineLevel="0" collapsed="false">
      <c r="A7" s="10" t="s">
        <v>31</v>
      </c>
      <c r="B7" s="11" t="s">
        <v>26</v>
      </c>
      <c r="C7" s="10" t="n">
        <v>1</v>
      </c>
      <c r="D7" s="11" t="s">
        <v>16</v>
      </c>
      <c r="E7" s="10" t="s">
        <v>28</v>
      </c>
      <c r="F7" s="12" t="s">
        <v>18</v>
      </c>
      <c r="G7" s="12" t="s">
        <v>29</v>
      </c>
      <c r="H7" s="11" t="s">
        <v>32</v>
      </c>
      <c r="I7" s="13" t="n">
        <v>879</v>
      </c>
      <c r="J7" s="13" t="n">
        <v>41</v>
      </c>
      <c r="K7" s="12" t="s">
        <v>24</v>
      </c>
      <c r="L7" s="14" t="n">
        <v>63</v>
      </c>
    </row>
    <row r="8" customFormat="false" ht="16.5" hidden="false" customHeight="true" outlineLevel="0" collapsed="false">
      <c r="A8" s="5" t="s">
        <v>33</v>
      </c>
      <c r="B8" s="6" t="s">
        <v>26</v>
      </c>
      <c r="C8" s="5" t="n">
        <v>1</v>
      </c>
      <c r="D8" s="6" t="s">
        <v>23</v>
      </c>
      <c r="E8" s="5" t="s">
        <v>34</v>
      </c>
      <c r="F8" s="7" t="s">
        <v>18</v>
      </c>
      <c r="G8" s="7" t="s">
        <v>29</v>
      </c>
      <c r="H8" s="6" t="s">
        <v>30</v>
      </c>
      <c r="I8" s="8" t="n">
        <v>965</v>
      </c>
      <c r="J8" s="8" t="n">
        <v>27</v>
      </c>
      <c r="K8" s="7" t="s">
        <v>24</v>
      </c>
      <c r="L8" s="9" t="n">
        <v>58.4</v>
      </c>
    </row>
    <row r="9" customFormat="false" ht="16.5" hidden="false" customHeight="true" outlineLevel="0" collapsed="false">
      <c r="A9" s="10" t="s">
        <v>35</v>
      </c>
      <c r="B9" s="11" t="s">
        <v>36</v>
      </c>
      <c r="C9" s="10" t="n">
        <v>1</v>
      </c>
      <c r="D9" s="11" t="s">
        <v>16</v>
      </c>
      <c r="E9" s="10" t="s">
        <v>37</v>
      </c>
      <c r="F9" s="12" t="s">
        <v>38</v>
      </c>
      <c r="G9" s="12" t="s">
        <v>19</v>
      </c>
      <c r="H9" s="11" t="s">
        <v>39</v>
      </c>
      <c r="I9" s="13" t="n">
        <v>935</v>
      </c>
      <c r="J9" s="13" t="n">
        <v>40</v>
      </c>
      <c r="K9" s="12" t="s">
        <v>21</v>
      </c>
      <c r="L9" s="14" t="n">
        <v>52.3</v>
      </c>
    </row>
    <row r="10" customFormat="false" ht="16.5" hidden="false" customHeight="true" outlineLevel="0" collapsed="false">
      <c r="A10" s="5" t="s">
        <v>40</v>
      </c>
      <c r="B10" s="6" t="s">
        <v>36</v>
      </c>
      <c r="C10" s="5" t="n">
        <v>1</v>
      </c>
      <c r="D10" s="6" t="s">
        <v>23</v>
      </c>
      <c r="E10" s="5" t="s">
        <v>17</v>
      </c>
      <c r="F10" s="7" t="s">
        <v>18</v>
      </c>
      <c r="G10" s="7" t="s">
        <v>29</v>
      </c>
      <c r="H10" s="6" t="s">
        <v>41</v>
      </c>
      <c r="I10" s="8" t="n">
        <v>1089</v>
      </c>
      <c r="J10" s="8" t="n">
        <v>30</v>
      </c>
      <c r="K10" s="7" t="s">
        <v>21</v>
      </c>
      <c r="L10" s="9" t="n">
        <v>67</v>
      </c>
    </row>
    <row r="11" customFormat="false" ht="16.5" hidden="false" customHeight="true" outlineLevel="0" collapsed="false">
      <c r="A11" s="10" t="s">
        <v>42</v>
      </c>
      <c r="B11" s="11" t="s">
        <v>43</v>
      </c>
      <c r="C11" s="10" t="n">
        <v>1</v>
      </c>
      <c r="D11" s="11" t="s">
        <v>16</v>
      </c>
      <c r="E11" s="10" t="s">
        <v>37</v>
      </c>
      <c r="F11" s="12" t="s">
        <v>38</v>
      </c>
      <c r="G11" s="12" t="s">
        <v>19</v>
      </c>
      <c r="H11" s="11" t="s">
        <v>39</v>
      </c>
      <c r="I11" s="13" t="n">
        <v>1116</v>
      </c>
      <c r="J11" s="13" t="n">
        <v>48</v>
      </c>
      <c r="K11" s="12" t="s">
        <v>24</v>
      </c>
      <c r="L11" s="14" t="n">
        <v>65.6</v>
      </c>
    </row>
    <row r="12" customFormat="false" ht="16.5" hidden="false" customHeight="true" outlineLevel="0" collapsed="false">
      <c r="A12" s="5" t="s">
        <v>44</v>
      </c>
      <c r="B12" s="6" t="s">
        <v>45</v>
      </c>
      <c r="C12" s="5" t="n">
        <v>1</v>
      </c>
      <c r="D12" s="6" t="s">
        <v>23</v>
      </c>
      <c r="E12" s="5" t="s">
        <v>17</v>
      </c>
      <c r="F12" s="7" t="s">
        <v>18</v>
      </c>
      <c r="G12" s="7" t="s">
        <v>19</v>
      </c>
      <c r="H12" s="6" t="s">
        <v>46</v>
      </c>
      <c r="I12" s="8" t="n">
        <v>840</v>
      </c>
      <c r="J12" s="8" t="n">
        <v>21</v>
      </c>
      <c r="K12" s="7" t="s">
        <v>47</v>
      </c>
      <c r="L12" s="9" t="n">
        <v>53.3</v>
      </c>
    </row>
    <row r="13" customFormat="false" ht="16.5" hidden="false" customHeight="true" outlineLevel="0" collapsed="false">
      <c r="A13" s="10" t="s">
        <v>48</v>
      </c>
      <c r="B13" s="11" t="s">
        <v>45</v>
      </c>
      <c r="C13" s="10" t="n">
        <v>1</v>
      </c>
      <c r="D13" s="11" t="s">
        <v>16</v>
      </c>
      <c r="E13" s="10" t="s">
        <v>34</v>
      </c>
      <c r="F13" s="12" t="s">
        <v>18</v>
      </c>
      <c r="G13" s="12" t="s">
        <v>19</v>
      </c>
      <c r="H13" s="11" t="s">
        <v>20</v>
      </c>
      <c r="I13" s="13" t="n">
        <v>989</v>
      </c>
      <c r="J13" s="13" t="n">
        <v>25</v>
      </c>
      <c r="K13" s="12" t="s">
        <v>21</v>
      </c>
      <c r="L13" s="14" t="n">
        <v>61.5</v>
      </c>
    </row>
    <row r="14" customFormat="false" ht="16.5" hidden="false" customHeight="true" outlineLevel="0" collapsed="false">
      <c r="A14" s="5" t="s">
        <v>49</v>
      </c>
      <c r="B14" s="6" t="s">
        <v>50</v>
      </c>
      <c r="C14" s="5" t="n">
        <v>1</v>
      </c>
      <c r="D14" s="6" t="s">
        <v>23</v>
      </c>
      <c r="E14" s="5" t="s">
        <v>17</v>
      </c>
      <c r="F14" s="7" t="s">
        <v>18</v>
      </c>
      <c r="G14" s="7" t="s">
        <v>29</v>
      </c>
      <c r="H14" s="6" t="s">
        <v>30</v>
      </c>
      <c r="I14" s="8" t="n">
        <v>1173</v>
      </c>
      <c r="J14" s="8" t="n">
        <v>41</v>
      </c>
      <c r="K14" s="7" t="s">
        <v>47</v>
      </c>
      <c r="L14" s="9" t="n">
        <v>61.3</v>
      </c>
    </row>
    <row r="15" customFormat="false" ht="16.5" hidden="false" customHeight="true" outlineLevel="0" collapsed="false">
      <c r="A15" s="10" t="s">
        <v>51</v>
      </c>
      <c r="B15" s="11" t="s">
        <v>50</v>
      </c>
      <c r="C15" s="10" t="n">
        <v>1</v>
      </c>
      <c r="D15" s="11" t="s">
        <v>23</v>
      </c>
      <c r="E15" s="10" t="s">
        <v>28</v>
      </c>
      <c r="F15" s="12" t="s">
        <v>18</v>
      </c>
      <c r="G15" s="12" t="s">
        <v>29</v>
      </c>
      <c r="H15" s="11" t="s">
        <v>41</v>
      </c>
      <c r="I15" s="13" t="n">
        <v>816</v>
      </c>
      <c r="J15" s="13" t="n">
        <v>29</v>
      </c>
      <c r="K15" s="12" t="s">
        <v>24</v>
      </c>
      <c r="L15" s="14" t="n">
        <v>55.1</v>
      </c>
    </row>
    <row r="16" customFormat="false" ht="16.5" hidden="false" customHeight="true" outlineLevel="0" collapsed="false">
      <c r="A16" s="5" t="s">
        <v>52</v>
      </c>
      <c r="B16" s="6" t="s">
        <v>50</v>
      </c>
      <c r="C16" s="5" t="n">
        <v>1</v>
      </c>
      <c r="D16" s="6" t="s">
        <v>16</v>
      </c>
      <c r="E16" s="5" t="s">
        <v>17</v>
      </c>
      <c r="F16" s="7" t="s">
        <v>18</v>
      </c>
      <c r="G16" s="7" t="s">
        <v>19</v>
      </c>
      <c r="H16" s="6" t="s">
        <v>20</v>
      </c>
      <c r="I16" s="8" t="n">
        <v>849</v>
      </c>
      <c r="J16" s="8" t="n">
        <v>13</v>
      </c>
      <c r="K16" s="7" t="s">
        <v>47</v>
      </c>
      <c r="L16" s="9" t="n">
        <v>64.2</v>
      </c>
    </row>
    <row r="17" customFormat="false" ht="16.5" hidden="false" customHeight="true" outlineLevel="0" collapsed="false">
      <c r="A17" s="10" t="s">
        <v>53</v>
      </c>
      <c r="B17" s="11" t="s">
        <v>54</v>
      </c>
      <c r="C17" s="10" t="n">
        <v>1</v>
      </c>
      <c r="D17" s="11" t="s">
        <v>16</v>
      </c>
      <c r="E17" s="10" t="s">
        <v>34</v>
      </c>
      <c r="F17" s="12" t="s">
        <v>18</v>
      </c>
      <c r="G17" s="12" t="s">
        <v>19</v>
      </c>
      <c r="H17" s="11" t="s">
        <v>46</v>
      </c>
      <c r="I17" s="13" t="n">
        <v>1129</v>
      </c>
      <c r="J17" s="13" t="n">
        <v>29</v>
      </c>
      <c r="K17" s="12" t="s">
        <v>24</v>
      </c>
      <c r="L17" s="14" t="n">
        <v>58.6</v>
      </c>
    </row>
    <row r="18" customFormat="false" ht="16.5" hidden="false" customHeight="true" outlineLevel="0" collapsed="false">
      <c r="A18" s="5" t="s">
        <v>55</v>
      </c>
      <c r="B18" s="6" t="s">
        <v>56</v>
      </c>
      <c r="C18" s="5" t="n">
        <v>1</v>
      </c>
      <c r="D18" s="6" t="s">
        <v>16</v>
      </c>
      <c r="E18" s="5" t="s">
        <v>34</v>
      </c>
      <c r="F18" s="7" t="s">
        <v>18</v>
      </c>
      <c r="G18" s="7" t="s">
        <v>29</v>
      </c>
      <c r="H18" s="6" t="s">
        <v>30</v>
      </c>
      <c r="I18" s="8" t="n">
        <v>1004</v>
      </c>
      <c r="J18" s="8" t="n">
        <v>33</v>
      </c>
      <c r="K18" s="7" t="s">
        <v>24</v>
      </c>
      <c r="L18" s="9" t="n">
        <v>65.9</v>
      </c>
    </row>
    <row r="19" customFormat="false" ht="16.5" hidden="false" customHeight="true" outlineLevel="0" collapsed="false">
      <c r="A19" s="10" t="s">
        <v>57</v>
      </c>
      <c r="B19" s="11" t="s">
        <v>56</v>
      </c>
      <c r="C19" s="10" t="n">
        <v>1</v>
      </c>
      <c r="D19" s="11" t="s">
        <v>23</v>
      </c>
      <c r="E19" s="10" t="s">
        <v>37</v>
      </c>
      <c r="F19" s="12" t="s">
        <v>38</v>
      </c>
      <c r="G19" s="12" t="s">
        <v>19</v>
      </c>
      <c r="H19" s="11" t="s">
        <v>20</v>
      </c>
      <c r="I19" s="13" t="n">
        <v>878</v>
      </c>
      <c r="J19" s="13" t="n">
        <v>20</v>
      </c>
      <c r="K19" s="12" t="s">
        <v>47</v>
      </c>
      <c r="L19" s="14" t="n">
        <v>55.9</v>
      </c>
    </row>
    <row r="20" customFormat="false" ht="16.5" hidden="false" customHeight="true" outlineLevel="0" collapsed="false">
      <c r="A20" s="5" t="s">
        <v>58</v>
      </c>
      <c r="B20" s="6" t="s">
        <v>56</v>
      </c>
      <c r="C20" s="5" t="n">
        <v>1</v>
      </c>
      <c r="D20" s="6" t="s">
        <v>23</v>
      </c>
      <c r="E20" s="5" t="s">
        <v>37</v>
      </c>
      <c r="F20" s="7" t="s">
        <v>38</v>
      </c>
      <c r="G20" s="7" t="s">
        <v>19</v>
      </c>
      <c r="H20" s="6" t="s">
        <v>46</v>
      </c>
      <c r="I20" s="8" t="n">
        <v>846</v>
      </c>
      <c r="J20" s="8" t="n">
        <v>9</v>
      </c>
      <c r="K20" s="7" t="s">
        <v>21</v>
      </c>
      <c r="L20" s="9" t="n">
        <v>51.9</v>
      </c>
    </row>
    <row r="21" customFormat="false" ht="16.5" hidden="false" customHeight="true" outlineLevel="0" collapsed="false">
      <c r="A21" s="10" t="s">
        <v>59</v>
      </c>
      <c r="B21" s="11" t="s">
        <v>60</v>
      </c>
      <c r="C21" s="10" t="n">
        <v>1</v>
      </c>
      <c r="D21" s="11" t="s">
        <v>27</v>
      </c>
      <c r="E21" s="10" t="s">
        <v>17</v>
      </c>
      <c r="F21" s="12" t="s">
        <v>18</v>
      </c>
      <c r="G21" s="12" t="s">
        <v>19</v>
      </c>
      <c r="H21" s="11" t="s">
        <v>46</v>
      </c>
      <c r="I21" s="13" t="n">
        <v>1070</v>
      </c>
      <c r="J21" s="13" t="n">
        <v>21</v>
      </c>
      <c r="K21" s="12" t="s">
        <v>24</v>
      </c>
      <c r="L21" s="14" t="n">
        <v>61.8</v>
      </c>
    </row>
    <row r="22" customFormat="false" ht="16.5" hidden="false" customHeight="true" outlineLevel="0" collapsed="false">
      <c r="A22" s="5" t="s">
        <v>61</v>
      </c>
      <c r="B22" s="6" t="s">
        <v>60</v>
      </c>
      <c r="C22" s="5" t="n">
        <v>1</v>
      </c>
      <c r="D22" s="6" t="s">
        <v>27</v>
      </c>
      <c r="E22" s="5" t="s">
        <v>17</v>
      </c>
      <c r="F22" s="7" t="s">
        <v>18</v>
      </c>
      <c r="G22" s="7" t="s">
        <v>29</v>
      </c>
      <c r="H22" s="6" t="s">
        <v>32</v>
      </c>
      <c r="I22" s="8" t="n">
        <v>1193</v>
      </c>
      <c r="J22" s="8" t="n">
        <v>39</v>
      </c>
      <c r="K22" s="7" t="s">
        <v>47</v>
      </c>
      <c r="L22" s="9" t="n">
        <v>56.9</v>
      </c>
    </row>
    <row r="23" customFormat="false" ht="16.5" hidden="false" customHeight="true" outlineLevel="0" collapsed="false">
      <c r="A23" s="10" t="s">
        <v>62</v>
      </c>
      <c r="B23" s="11" t="s">
        <v>63</v>
      </c>
      <c r="C23" s="10" t="n">
        <v>1</v>
      </c>
      <c r="D23" s="11" t="s">
        <v>27</v>
      </c>
      <c r="E23" s="10" t="s">
        <v>37</v>
      </c>
      <c r="F23" s="12" t="s">
        <v>38</v>
      </c>
      <c r="G23" s="12" t="s">
        <v>19</v>
      </c>
      <c r="H23" s="11" t="s">
        <v>39</v>
      </c>
      <c r="I23" s="13" t="n">
        <v>934</v>
      </c>
      <c r="J23" s="13" t="n">
        <v>35</v>
      </c>
      <c r="K23" s="12" t="s">
        <v>21</v>
      </c>
      <c r="L23" s="14" t="n">
        <v>70.5</v>
      </c>
    </row>
    <row r="24" customFormat="false" ht="16.5" hidden="false" customHeight="true" outlineLevel="0" collapsed="false">
      <c r="A24" s="5" t="s">
        <v>64</v>
      </c>
      <c r="B24" s="6" t="s">
        <v>65</v>
      </c>
      <c r="C24" s="5" t="n">
        <v>1</v>
      </c>
      <c r="D24" s="6" t="s">
        <v>27</v>
      </c>
      <c r="E24" s="5" t="s">
        <v>34</v>
      </c>
      <c r="F24" s="7" t="s">
        <v>18</v>
      </c>
      <c r="G24" s="7" t="s">
        <v>29</v>
      </c>
      <c r="H24" s="6" t="s">
        <v>30</v>
      </c>
      <c r="I24" s="8" t="n">
        <v>901</v>
      </c>
      <c r="J24" s="8" t="n">
        <v>35</v>
      </c>
      <c r="K24" s="7" t="s">
        <v>21</v>
      </c>
      <c r="L24" s="9" t="n">
        <v>62.2</v>
      </c>
    </row>
    <row r="25" customFormat="false" ht="16.5" hidden="false" customHeight="true" outlineLevel="0" collapsed="false">
      <c r="A25" s="10" t="s">
        <v>66</v>
      </c>
      <c r="B25" s="11" t="s">
        <v>67</v>
      </c>
      <c r="C25" s="10" t="n">
        <v>1</v>
      </c>
      <c r="D25" s="11" t="s">
        <v>16</v>
      </c>
      <c r="E25" s="10" t="s">
        <v>17</v>
      </c>
      <c r="F25" s="12" t="s">
        <v>18</v>
      </c>
      <c r="G25" s="12" t="s">
        <v>19</v>
      </c>
      <c r="H25" s="11" t="s">
        <v>20</v>
      </c>
      <c r="I25" s="13" t="n">
        <v>857</v>
      </c>
      <c r="J25" s="13" t="n">
        <v>33</v>
      </c>
      <c r="K25" s="12" t="s">
        <v>47</v>
      </c>
      <c r="L25" s="14" t="n">
        <v>55.3</v>
      </c>
    </row>
    <row r="26" customFormat="false" ht="16.5" hidden="false" customHeight="true" outlineLevel="0" collapsed="false">
      <c r="A26" s="5" t="s">
        <v>68</v>
      </c>
      <c r="B26" s="6" t="s">
        <v>67</v>
      </c>
      <c r="C26" s="5" t="n">
        <v>1</v>
      </c>
      <c r="D26" s="6" t="s">
        <v>27</v>
      </c>
      <c r="E26" s="5" t="s">
        <v>28</v>
      </c>
      <c r="F26" s="7" t="s">
        <v>18</v>
      </c>
      <c r="G26" s="7" t="s">
        <v>19</v>
      </c>
      <c r="H26" s="6" t="s">
        <v>20</v>
      </c>
      <c r="I26" s="8" t="n">
        <v>843</v>
      </c>
      <c r="J26" s="8" t="n">
        <v>15</v>
      </c>
      <c r="K26" s="7" t="s">
        <v>21</v>
      </c>
      <c r="L26" s="9" t="n">
        <v>52.5</v>
      </c>
    </row>
    <row r="27" customFormat="false" ht="16.5" hidden="false" customHeight="true" outlineLevel="0" collapsed="false">
      <c r="A27" s="10" t="s">
        <v>69</v>
      </c>
      <c r="B27" s="11" t="s">
        <v>70</v>
      </c>
      <c r="C27" s="10" t="n">
        <v>1</v>
      </c>
      <c r="D27" s="11" t="s">
        <v>27</v>
      </c>
      <c r="E27" s="10" t="s">
        <v>28</v>
      </c>
      <c r="F27" s="12" t="s">
        <v>18</v>
      </c>
      <c r="G27" s="12" t="s">
        <v>29</v>
      </c>
      <c r="H27" s="11" t="s">
        <v>41</v>
      </c>
      <c r="I27" s="13" t="n">
        <v>935</v>
      </c>
      <c r="J27" s="13" t="n">
        <v>26</v>
      </c>
      <c r="K27" s="12" t="s">
        <v>24</v>
      </c>
      <c r="L27" s="14" t="n">
        <v>57.3</v>
      </c>
    </row>
    <row r="28" customFormat="false" ht="16.5" hidden="false" customHeight="true" outlineLevel="0" collapsed="false">
      <c r="A28" s="5" t="s">
        <v>71</v>
      </c>
      <c r="B28" s="6" t="s">
        <v>72</v>
      </c>
      <c r="C28" s="5" t="n">
        <v>1</v>
      </c>
      <c r="D28" s="6" t="s">
        <v>16</v>
      </c>
      <c r="E28" s="5" t="s">
        <v>28</v>
      </c>
      <c r="F28" s="7" t="s">
        <v>18</v>
      </c>
      <c r="G28" s="7" t="s">
        <v>29</v>
      </c>
      <c r="H28" s="6" t="s">
        <v>30</v>
      </c>
      <c r="I28" s="8" t="n">
        <v>1132</v>
      </c>
      <c r="J28" s="8" t="n">
        <v>42</v>
      </c>
      <c r="K28" s="7" t="s">
        <v>47</v>
      </c>
      <c r="L28" s="9" t="n">
        <v>62.6</v>
      </c>
    </row>
    <row r="29" customFormat="false" ht="16.5" hidden="false" customHeight="true" outlineLevel="0" collapsed="false">
      <c r="A29" s="10" t="s">
        <v>73</v>
      </c>
      <c r="B29" s="11" t="s">
        <v>72</v>
      </c>
      <c r="C29" s="10" t="n">
        <v>1</v>
      </c>
      <c r="D29" s="11" t="s">
        <v>23</v>
      </c>
      <c r="E29" s="10" t="s">
        <v>17</v>
      </c>
      <c r="F29" s="12" t="s">
        <v>18</v>
      </c>
      <c r="G29" s="12" t="s">
        <v>19</v>
      </c>
      <c r="H29" s="11" t="s">
        <v>46</v>
      </c>
      <c r="I29" s="13" t="n">
        <v>810</v>
      </c>
      <c r="J29" s="13" t="n">
        <v>13</v>
      </c>
      <c r="K29" s="12" t="s">
        <v>24</v>
      </c>
      <c r="L29" s="14" t="n">
        <v>56.9</v>
      </c>
    </row>
    <row r="30" customFormat="false" ht="16.5" hidden="false" customHeight="true" outlineLevel="0" collapsed="false">
      <c r="A30" s="5" t="s">
        <v>74</v>
      </c>
      <c r="B30" s="6" t="s">
        <v>72</v>
      </c>
      <c r="C30" s="5" t="n">
        <v>1</v>
      </c>
      <c r="D30" s="6" t="s">
        <v>27</v>
      </c>
      <c r="E30" s="5" t="s">
        <v>37</v>
      </c>
      <c r="F30" s="7" t="s">
        <v>38</v>
      </c>
      <c r="G30" s="7" t="s">
        <v>19</v>
      </c>
      <c r="H30" s="6" t="s">
        <v>20</v>
      </c>
      <c r="I30" s="8" t="n">
        <v>1172</v>
      </c>
      <c r="J30" s="8" t="n">
        <v>20</v>
      </c>
      <c r="K30" s="7" t="s">
        <v>21</v>
      </c>
      <c r="L30" s="9" t="n">
        <v>48.2</v>
      </c>
    </row>
    <row r="31" customFormat="false" ht="16.5" hidden="false" customHeight="true" outlineLevel="0" collapsed="false">
      <c r="A31" s="10" t="s">
        <v>75</v>
      </c>
      <c r="B31" s="11" t="s">
        <v>76</v>
      </c>
      <c r="C31" s="10" t="n">
        <v>1</v>
      </c>
      <c r="D31" s="11" t="s">
        <v>23</v>
      </c>
      <c r="E31" s="10" t="s">
        <v>17</v>
      </c>
      <c r="F31" s="12" t="s">
        <v>18</v>
      </c>
      <c r="G31" s="12" t="s">
        <v>29</v>
      </c>
      <c r="H31" s="11" t="s">
        <v>41</v>
      </c>
      <c r="I31" s="13" t="n">
        <v>834</v>
      </c>
      <c r="J31" s="13" t="n">
        <v>36</v>
      </c>
      <c r="K31" s="12" t="s">
        <v>24</v>
      </c>
      <c r="L31" s="14" t="n">
        <v>54.7</v>
      </c>
    </row>
    <row r="32" customFormat="false" ht="16.5" hidden="false" customHeight="true" outlineLevel="0" collapsed="false">
      <c r="A32" s="5" t="s">
        <v>77</v>
      </c>
      <c r="B32" s="6" t="s">
        <v>78</v>
      </c>
      <c r="C32" s="5" t="n">
        <v>1</v>
      </c>
      <c r="D32" s="6" t="s">
        <v>16</v>
      </c>
      <c r="E32" s="5" t="s">
        <v>28</v>
      </c>
      <c r="F32" s="7" t="s">
        <v>18</v>
      </c>
      <c r="G32" s="7" t="s">
        <v>19</v>
      </c>
      <c r="H32" s="6" t="s">
        <v>20</v>
      </c>
      <c r="I32" s="8" t="n">
        <v>1076</v>
      </c>
      <c r="J32" s="8" t="n">
        <v>40</v>
      </c>
      <c r="K32" s="7" t="s">
        <v>21</v>
      </c>
      <c r="L32" s="9" t="n">
        <v>63.2</v>
      </c>
    </row>
    <row r="33" customFormat="false" ht="16.5" hidden="false" customHeight="true" outlineLevel="0" collapsed="false">
      <c r="A33" s="10" t="s">
        <v>79</v>
      </c>
      <c r="B33" s="11" t="s">
        <v>78</v>
      </c>
      <c r="C33" s="10" t="n">
        <v>1</v>
      </c>
      <c r="D33" s="11" t="s">
        <v>16</v>
      </c>
      <c r="E33" s="10" t="s">
        <v>37</v>
      </c>
      <c r="F33" s="12" t="s">
        <v>38</v>
      </c>
      <c r="G33" s="12" t="s">
        <v>19</v>
      </c>
      <c r="H33" s="11" t="s">
        <v>46</v>
      </c>
      <c r="I33" s="13" t="n">
        <v>897</v>
      </c>
      <c r="J33" s="13" t="n">
        <v>41</v>
      </c>
      <c r="K33" s="12" t="s">
        <v>47</v>
      </c>
      <c r="L33" s="14" t="n">
        <v>87.3</v>
      </c>
    </row>
    <row r="34" customFormat="false" ht="16.5" hidden="false" customHeight="true" outlineLevel="0" collapsed="false">
      <c r="A34" s="5" t="s">
        <v>80</v>
      </c>
      <c r="B34" s="6" t="s">
        <v>81</v>
      </c>
      <c r="C34" s="5" t="n">
        <v>1</v>
      </c>
      <c r="D34" s="6" t="s">
        <v>27</v>
      </c>
      <c r="E34" s="5" t="s">
        <v>37</v>
      </c>
      <c r="F34" s="7" t="s">
        <v>38</v>
      </c>
      <c r="G34" s="7" t="s">
        <v>19</v>
      </c>
      <c r="H34" s="6" t="s">
        <v>20</v>
      </c>
      <c r="I34" s="8" t="n">
        <v>1144</v>
      </c>
      <c r="J34" s="8" t="n">
        <v>29</v>
      </c>
      <c r="K34" s="7" t="s">
        <v>24</v>
      </c>
      <c r="L34" s="9" t="n">
        <v>57.2</v>
      </c>
    </row>
    <row r="35" customFormat="false" ht="16.5" hidden="false" customHeight="true" outlineLevel="0" collapsed="false">
      <c r="A35" s="10" t="s">
        <v>82</v>
      </c>
      <c r="B35" s="11" t="s">
        <v>83</v>
      </c>
      <c r="C35" s="10" t="n">
        <v>1</v>
      </c>
      <c r="D35" s="11" t="s">
        <v>23</v>
      </c>
      <c r="E35" s="10" t="s">
        <v>34</v>
      </c>
      <c r="F35" s="12" t="s">
        <v>18</v>
      </c>
      <c r="G35" s="12" t="s">
        <v>29</v>
      </c>
      <c r="H35" s="11" t="s">
        <v>41</v>
      </c>
      <c r="I35" s="13" t="n">
        <v>898</v>
      </c>
      <c r="J35" s="13" t="n">
        <v>33</v>
      </c>
      <c r="K35" s="12" t="s">
        <v>47</v>
      </c>
      <c r="L35" s="14" t="n">
        <v>61</v>
      </c>
    </row>
    <row r="36" customFormat="false" ht="16.5" hidden="false" customHeight="true" outlineLevel="0" collapsed="false">
      <c r="A36" s="5" t="s">
        <v>84</v>
      </c>
      <c r="B36" s="6" t="s">
        <v>85</v>
      </c>
      <c r="C36" s="5" t="n">
        <v>1</v>
      </c>
      <c r="D36" s="6" t="s">
        <v>23</v>
      </c>
      <c r="E36" s="5" t="s">
        <v>34</v>
      </c>
      <c r="F36" s="7" t="s">
        <v>18</v>
      </c>
      <c r="G36" s="7" t="s">
        <v>19</v>
      </c>
      <c r="H36" s="6" t="s">
        <v>46</v>
      </c>
      <c r="I36" s="8" t="n">
        <v>1081</v>
      </c>
      <c r="J36" s="8" t="n">
        <v>28</v>
      </c>
      <c r="K36" s="7" t="s">
        <v>21</v>
      </c>
      <c r="L36" s="9" t="n">
        <v>60.5</v>
      </c>
    </row>
    <row r="37" customFormat="false" ht="16.5" hidden="false" customHeight="true" outlineLevel="0" collapsed="false">
      <c r="A37" s="10" t="s">
        <v>86</v>
      </c>
      <c r="B37" s="11" t="s">
        <v>87</v>
      </c>
      <c r="C37" s="10" t="n">
        <v>1</v>
      </c>
      <c r="D37" s="11" t="s">
        <v>23</v>
      </c>
      <c r="E37" s="10" t="s">
        <v>17</v>
      </c>
      <c r="F37" s="12" t="s">
        <v>18</v>
      </c>
      <c r="G37" s="12" t="s">
        <v>29</v>
      </c>
      <c r="H37" s="11" t="s">
        <v>41</v>
      </c>
      <c r="I37" s="13" t="n">
        <v>1008</v>
      </c>
      <c r="J37" s="13" t="n">
        <v>31</v>
      </c>
      <c r="K37" s="12" t="s">
        <v>47</v>
      </c>
      <c r="L37" s="14" t="n">
        <v>58.2</v>
      </c>
    </row>
    <row r="38" customFormat="false" ht="16.5" hidden="false" customHeight="true" outlineLevel="0" collapsed="false">
      <c r="A38" s="5" t="s">
        <v>88</v>
      </c>
      <c r="B38" s="6" t="s">
        <v>89</v>
      </c>
      <c r="C38" s="5" t="n">
        <v>1</v>
      </c>
      <c r="D38" s="6" t="s">
        <v>16</v>
      </c>
      <c r="E38" s="5" t="s">
        <v>28</v>
      </c>
      <c r="F38" s="7" t="s">
        <v>18</v>
      </c>
      <c r="G38" s="7" t="s">
        <v>19</v>
      </c>
      <c r="H38" s="6" t="s">
        <v>46</v>
      </c>
      <c r="I38" s="8" t="n">
        <v>1032</v>
      </c>
      <c r="J38" s="8" t="n">
        <v>29</v>
      </c>
      <c r="K38" s="7" t="s">
        <v>21</v>
      </c>
      <c r="L38" s="9" t="n">
        <v>62.5</v>
      </c>
    </row>
    <row r="39" customFormat="false" ht="16.5" hidden="false" customHeight="true" outlineLevel="0" collapsed="false">
      <c r="A39" s="10" t="s">
        <v>90</v>
      </c>
      <c r="B39" s="11" t="s">
        <v>91</v>
      </c>
      <c r="C39" s="10" t="n">
        <v>1</v>
      </c>
      <c r="D39" s="11" t="s">
        <v>16</v>
      </c>
      <c r="E39" s="10" t="s">
        <v>37</v>
      </c>
      <c r="F39" s="12" t="s">
        <v>38</v>
      </c>
      <c r="G39" s="12" t="s">
        <v>19</v>
      </c>
      <c r="H39" s="11" t="s">
        <v>20</v>
      </c>
      <c r="I39" s="13" t="n">
        <v>829</v>
      </c>
      <c r="J39" s="13" t="n">
        <v>28</v>
      </c>
      <c r="K39" s="12" t="s">
        <v>21</v>
      </c>
      <c r="L39" s="14" t="n">
        <v>66.1</v>
      </c>
    </row>
    <row r="40" customFormat="false" ht="16.5" hidden="false" customHeight="true" outlineLevel="0" collapsed="false">
      <c r="A40" s="5" t="s">
        <v>92</v>
      </c>
      <c r="B40" s="6" t="s">
        <v>91</v>
      </c>
      <c r="C40" s="5" t="n">
        <v>1</v>
      </c>
      <c r="D40" s="6" t="s">
        <v>27</v>
      </c>
      <c r="E40" s="5" t="s">
        <v>34</v>
      </c>
      <c r="F40" s="7" t="s">
        <v>18</v>
      </c>
      <c r="G40" s="7" t="s">
        <v>19</v>
      </c>
      <c r="H40" s="6" t="s">
        <v>46</v>
      </c>
      <c r="I40" s="8" t="n">
        <v>1057</v>
      </c>
      <c r="J40" s="8" t="n">
        <v>26</v>
      </c>
      <c r="K40" s="7" t="s">
        <v>24</v>
      </c>
      <c r="L40" s="9" t="n">
        <v>56.2</v>
      </c>
    </row>
    <row r="41" customFormat="false" ht="16.5" hidden="false" customHeight="true" outlineLevel="0" collapsed="false">
      <c r="A41" s="10" t="s">
        <v>93</v>
      </c>
      <c r="B41" s="11" t="s">
        <v>94</v>
      </c>
      <c r="C41" s="10" t="n">
        <v>1</v>
      </c>
      <c r="D41" s="11" t="s">
        <v>23</v>
      </c>
      <c r="E41" s="10" t="s">
        <v>17</v>
      </c>
      <c r="F41" s="12" t="s">
        <v>18</v>
      </c>
      <c r="G41" s="12" t="s">
        <v>29</v>
      </c>
      <c r="H41" s="11" t="s">
        <v>30</v>
      </c>
      <c r="I41" s="13" t="n">
        <v>834</v>
      </c>
      <c r="J41" s="13" t="n">
        <v>27</v>
      </c>
      <c r="K41" s="12" t="s">
        <v>24</v>
      </c>
      <c r="L41" s="14" t="n">
        <v>56</v>
      </c>
    </row>
    <row r="42" customFormat="false" ht="16.5" hidden="false" customHeight="true" outlineLevel="0" collapsed="false">
      <c r="A42" s="5" t="s">
        <v>95</v>
      </c>
      <c r="B42" s="6" t="s">
        <v>94</v>
      </c>
      <c r="C42" s="5" t="n">
        <v>1</v>
      </c>
      <c r="D42" s="6" t="s">
        <v>23</v>
      </c>
      <c r="E42" s="5" t="s">
        <v>28</v>
      </c>
      <c r="F42" s="7" t="s">
        <v>18</v>
      </c>
      <c r="G42" s="7" t="s">
        <v>19</v>
      </c>
      <c r="H42" s="6" t="s">
        <v>39</v>
      </c>
      <c r="I42" s="8" t="n">
        <v>841</v>
      </c>
      <c r="J42" s="8" t="n">
        <v>11</v>
      </c>
      <c r="K42" s="7" t="s">
        <v>21</v>
      </c>
      <c r="L42" s="9" t="n">
        <v>59.9</v>
      </c>
    </row>
    <row r="43" customFormat="false" ht="16.5" hidden="false" customHeight="true" outlineLevel="0" collapsed="false">
      <c r="A43" s="10" t="s">
        <v>96</v>
      </c>
      <c r="B43" s="11" t="s">
        <v>97</v>
      </c>
      <c r="C43" s="10" t="n">
        <v>1</v>
      </c>
      <c r="D43" s="11" t="s">
        <v>27</v>
      </c>
      <c r="E43" s="10" t="s">
        <v>34</v>
      </c>
      <c r="F43" s="12" t="s">
        <v>18</v>
      </c>
      <c r="G43" s="12" t="s">
        <v>19</v>
      </c>
      <c r="H43" s="11" t="s">
        <v>46</v>
      </c>
      <c r="I43" s="13" t="n">
        <v>922</v>
      </c>
      <c r="J43" s="13" t="n">
        <v>18</v>
      </c>
      <c r="K43" s="12" t="s">
        <v>21</v>
      </c>
      <c r="L43" s="14" t="n">
        <v>59.6</v>
      </c>
    </row>
    <row r="44" customFormat="false" ht="16.5" hidden="false" customHeight="true" outlineLevel="0" collapsed="false">
      <c r="A44" s="5" t="s">
        <v>98</v>
      </c>
      <c r="B44" s="6" t="s">
        <v>99</v>
      </c>
      <c r="C44" s="5" t="n">
        <v>1</v>
      </c>
      <c r="D44" s="6" t="s">
        <v>23</v>
      </c>
      <c r="E44" s="5" t="s">
        <v>37</v>
      </c>
      <c r="F44" s="7" t="s">
        <v>38</v>
      </c>
      <c r="G44" s="7" t="s">
        <v>19</v>
      </c>
      <c r="H44" s="6" t="s">
        <v>20</v>
      </c>
      <c r="I44" s="8" t="n">
        <v>1034</v>
      </c>
      <c r="J44" s="8" t="n">
        <v>26</v>
      </c>
      <c r="K44" s="7" t="s">
        <v>24</v>
      </c>
      <c r="L44" s="9" t="n">
        <v>61.7</v>
      </c>
    </row>
    <row r="45" customFormat="false" ht="16.5" hidden="false" customHeight="true" outlineLevel="0" collapsed="false">
      <c r="A45" s="10" t="s">
        <v>100</v>
      </c>
      <c r="B45" s="11" t="s">
        <v>101</v>
      </c>
      <c r="C45" s="10" t="n">
        <v>1</v>
      </c>
      <c r="D45" s="11" t="s">
        <v>23</v>
      </c>
      <c r="E45" s="10" t="s">
        <v>28</v>
      </c>
      <c r="F45" s="12" t="s">
        <v>18</v>
      </c>
      <c r="G45" s="12" t="s">
        <v>19</v>
      </c>
      <c r="H45" s="11" t="s">
        <v>46</v>
      </c>
      <c r="I45" s="13" t="n">
        <v>835</v>
      </c>
      <c r="J45" s="13" t="n">
        <v>19</v>
      </c>
      <c r="K45" s="12" t="s">
        <v>24</v>
      </c>
      <c r="L45" s="14" t="n">
        <v>56</v>
      </c>
    </row>
    <row r="46" customFormat="false" ht="16.5" hidden="false" customHeight="true" outlineLevel="0" collapsed="false">
      <c r="A46" s="5" t="s">
        <v>102</v>
      </c>
      <c r="B46" s="6" t="s">
        <v>103</v>
      </c>
      <c r="C46" s="5" t="n">
        <v>1</v>
      </c>
      <c r="D46" s="6" t="s">
        <v>27</v>
      </c>
      <c r="E46" s="5" t="s">
        <v>34</v>
      </c>
      <c r="F46" s="7" t="s">
        <v>18</v>
      </c>
      <c r="G46" s="7" t="s">
        <v>29</v>
      </c>
      <c r="H46" s="6" t="s">
        <v>30</v>
      </c>
      <c r="I46" s="8" t="n">
        <v>804</v>
      </c>
      <c r="J46" s="8" t="n">
        <v>25</v>
      </c>
      <c r="K46" s="7" t="s">
        <v>21</v>
      </c>
      <c r="L46" s="9" t="n">
        <v>54.7</v>
      </c>
    </row>
    <row r="47" customFormat="false" ht="16.5" hidden="false" customHeight="true" outlineLevel="0" collapsed="false">
      <c r="A47" s="10" t="s">
        <v>104</v>
      </c>
      <c r="B47" s="11" t="s">
        <v>103</v>
      </c>
      <c r="C47" s="10" t="n">
        <v>1</v>
      </c>
      <c r="D47" s="11" t="s">
        <v>23</v>
      </c>
      <c r="E47" s="10" t="s">
        <v>28</v>
      </c>
      <c r="F47" s="12" t="s">
        <v>18</v>
      </c>
      <c r="G47" s="12" t="s">
        <v>29</v>
      </c>
      <c r="H47" s="11" t="s">
        <v>32</v>
      </c>
      <c r="I47" s="13" t="n">
        <v>1196</v>
      </c>
      <c r="J47" s="13" t="n">
        <v>37</v>
      </c>
      <c r="K47" s="12" t="s">
        <v>24</v>
      </c>
      <c r="L47" s="14" t="n">
        <v>66.6</v>
      </c>
    </row>
    <row r="48" customFormat="false" ht="16.5" hidden="false" customHeight="true" outlineLevel="0" collapsed="false">
      <c r="A48" s="5" t="s">
        <v>105</v>
      </c>
      <c r="B48" s="6" t="s">
        <v>106</v>
      </c>
      <c r="C48" s="5" t="n">
        <v>1</v>
      </c>
      <c r="D48" s="6" t="s">
        <v>23</v>
      </c>
      <c r="E48" s="5" t="s">
        <v>28</v>
      </c>
      <c r="F48" s="7" t="s">
        <v>18</v>
      </c>
      <c r="G48" s="7" t="s">
        <v>19</v>
      </c>
      <c r="H48" s="6" t="s">
        <v>39</v>
      </c>
      <c r="I48" s="8" t="n">
        <v>1083</v>
      </c>
      <c r="J48" s="8" t="n">
        <v>24</v>
      </c>
      <c r="K48" s="7" t="s">
        <v>24</v>
      </c>
      <c r="L48" s="9" t="n">
        <v>60</v>
      </c>
    </row>
    <row r="49" customFormat="false" ht="16.5" hidden="false" customHeight="true" outlineLevel="0" collapsed="false">
      <c r="A49" s="10" t="s">
        <v>107</v>
      </c>
      <c r="B49" s="11" t="s">
        <v>108</v>
      </c>
      <c r="C49" s="10" t="n">
        <v>1</v>
      </c>
      <c r="D49" s="11" t="s">
        <v>27</v>
      </c>
      <c r="E49" s="10" t="s">
        <v>34</v>
      </c>
      <c r="F49" s="12" t="s">
        <v>18</v>
      </c>
      <c r="G49" s="12" t="s">
        <v>19</v>
      </c>
      <c r="H49" s="11" t="s">
        <v>46</v>
      </c>
      <c r="I49" s="13" t="n">
        <v>1058</v>
      </c>
      <c r="J49" s="13" t="n">
        <v>9</v>
      </c>
      <c r="K49" s="12" t="s">
        <v>24</v>
      </c>
      <c r="L49" s="14" t="n">
        <v>58.5</v>
      </c>
    </row>
    <row r="50" customFormat="false" ht="16.5" hidden="false" customHeight="true" outlineLevel="0" collapsed="false">
      <c r="A50" s="5" t="s">
        <v>109</v>
      </c>
      <c r="B50" s="6" t="s">
        <v>108</v>
      </c>
      <c r="C50" s="5" t="n">
        <v>1</v>
      </c>
      <c r="D50" s="6" t="s">
        <v>16</v>
      </c>
      <c r="E50" s="5" t="s">
        <v>17</v>
      </c>
      <c r="F50" s="7" t="s">
        <v>18</v>
      </c>
      <c r="G50" s="7" t="s">
        <v>29</v>
      </c>
      <c r="H50" s="6" t="s">
        <v>41</v>
      </c>
      <c r="I50" s="8" t="n">
        <v>801</v>
      </c>
      <c r="J50" s="8" t="n">
        <v>34</v>
      </c>
      <c r="K50" s="7" t="s">
        <v>47</v>
      </c>
      <c r="L50" s="9" t="n">
        <v>59.4</v>
      </c>
    </row>
    <row r="51" customFormat="false" ht="16.5" hidden="false" customHeight="true" outlineLevel="0" collapsed="false">
      <c r="A51" s="10" t="s">
        <v>110</v>
      </c>
      <c r="B51" s="11" t="s">
        <v>111</v>
      </c>
      <c r="C51" s="10" t="n">
        <v>1</v>
      </c>
      <c r="D51" s="11" t="s">
        <v>16</v>
      </c>
      <c r="E51" s="10" t="s">
        <v>37</v>
      </c>
      <c r="F51" s="12" t="s">
        <v>38</v>
      </c>
      <c r="G51" s="12" t="s">
        <v>19</v>
      </c>
      <c r="H51" s="11" t="s">
        <v>39</v>
      </c>
      <c r="I51" s="13" t="n">
        <v>804</v>
      </c>
      <c r="J51" s="13" t="n">
        <v>39</v>
      </c>
      <c r="K51" s="12" t="s">
        <v>21</v>
      </c>
      <c r="L51" s="14" t="n">
        <v>98.4</v>
      </c>
    </row>
    <row r="52" customFormat="false" ht="16.5" hidden="false" customHeight="true" outlineLevel="0" collapsed="false">
      <c r="A52" s="5" t="s">
        <v>112</v>
      </c>
      <c r="B52" s="6" t="s">
        <v>113</v>
      </c>
      <c r="C52" s="5" t="n">
        <v>1</v>
      </c>
      <c r="D52" s="6" t="s">
        <v>27</v>
      </c>
      <c r="E52" s="5" t="s">
        <v>17</v>
      </c>
      <c r="F52" s="7" t="s">
        <v>18</v>
      </c>
      <c r="G52" s="7" t="s">
        <v>29</v>
      </c>
      <c r="H52" s="6" t="s">
        <v>30</v>
      </c>
      <c r="I52" s="8" t="n">
        <v>875</v>
      </c>
      <c r="J52" s="8" t="n">
        <v>29</v>
      </c>
      <c r="K52" s="7" t="s">
        <v>47</v>
      </c>
      <c r="L52" s="9" t="n">
        <v>58.4</v>
      </c>
    </row>
    <row r="53" customFormat="false" ht="16.5" hidden="false" customHeight="true" outlineLevel="0" collapsed="false">
      <c r="A53" s="10" t="s">
        <v>114</v>
      </c>
      <c r="B53" s="11" t="s">
        <v>115</v>
      </c>
      <c r="C53" s="10" t="n">
        <v>2</v>
      </c>
      <c r="D53" s="11" t="s">
        <v>23</v>
      </c>
      <c r="E53" s="10" t="s">
        <v>34</v>
      </c>
      <c r="F53" s="12" t="s">
        <v>18</v>
      </c>
      <c r="G53" s="12" t="s">
        <v>19</v>
      </c>
      <c r="H53" s="11" t="s">
        <v>39</v>
      </c>
      <c r="I53" s="13" t="n">
        <v>852</v>
      </c>
      <c r="J53" s="13" t="n">
        <v>13</v>
      </c>
      <c r="K53" s="12" t="s">
        <v>47</v>
      </c>
      <c r="L53" s="14" t="n">
        <v>61.1</v>
      </c>
    </row>
    <row r="54" customFormat="false" ht="16.5" hidden="false" customHeight="true" outlineLevel="0" collapsed="false">
      <c r="A54" s="5" t="s">
        <v>116</v>
      </c>
      <c r="B54" s="6" t="s">
        <v>117</v>
      </c>
      <c r="C54" s="5" t="n">
        <v>2</v>
      </c>
      <c r="D54" s="6" t="s">
        <v>23</v>
      </c>
      <c r="E54" s="5" t="s">
        <v>28</v>
      </c>
      <c r="F54" s="7" t="s">
        <v>18</v>
      </c>
      <c r="G54" s="7" t="s">
        <v>29</v>
      </c>
      <c r="H54" s="6" t="s">
        <v>41</v>
      </c>
      <c r="I54" s="8" t="n">
        <v>890</v>
      </c>
      <c r="J54" s="8" t="n">
        <v>31</v>
      </c>
      <c r="K54" s="7" t="s">
        <v>21</v>
      </c>
      <c r="L54" s="9" t="n">
        <v>57.5</v>
      </c>
    </row>
    <row r="55" customFormat="false" ht="16.5" hidden="false" customHeight="true" outlineLevel="0" collapsed="false">
      <c r="A55" s="10" t="s">
        <v>118</v>
      </c>
      <c r="B55" s="11" t="s">
        <v>117</v>
      </c>
      <c r="C55" s="10" t="n">
        <v>2</v>
      </c>
      <c r="D55" s="11" t="s">
        <v>16</v>
      </c>
      <c r="E55" s="10" t="s">
        <v>34</v>
      </c>
      <c r="F55" s="12" t="s">
        <v>18</v>
      </c>
      <c r="G55" s="12" t="s">
        <v>29</v>
      </c>
      <c r="H55" s="11" t="s">
        <v>30</v>
      </c>
      <c r="I55" s="13" t="n">
        <v>1176</v>
      </c>
      <c r="J55" s="13" t="n">
        <v>54</v>
      </c>
      <c r="K55" s="12" t="s">
        <v>21</v>
      </c>
      <c r="L55" s="14" t="n">
        <v>55.8</v>
      </c>
    </row>
    <row r="56" customFormat="false" ht="16.5" hidden="false" customHeight="true" outlineLevel="0" collapsed="false">
      <c r="A56" s="5" t="s">
        <v>119</v>
      </c>
      <c r="B56" s="6" t="s">
        <v>120</v>
      </c>
      <c r="C56" s="5" t="n">
        <v>2</v>
      </c>
      <c r="D56" s="6" t="s">
        <v>16</v>
      </c>
      <c r="E56" s="5" t="s">
        <v>37</v>
      </c>
      <c r="F56" s="7" t="s">
        <v>38</v>
      </c>
      <c r="G56" s="7" t="s">
        <v>29</v>
      </c>
      <c r="H56" s="6" t="s">
        <v>41</v>
      </c>
      <c r="I56" s="8" t="n">
        <v>902</v>
      </c>
      <c r="J56" s="8" t="n">
        <v>51</v>
      </c>
      <c r="K56" s="7" t="s">
        <v>47</v>
      </c>
      <c r="L56" s="9" t="n">
        <v>59.8</v>
      </c>
    </row>
    <row r="57" customFormat="false" ht="16.5" hidden="false" customHeight="true" outlineLevel="0" collapsed="false">
      <c r="A57" s="10" t="s">
        <v>121</v>
      </c>
      <c r="B57" s="11" t="s">
        <v>122</v>
      </c>
      <c r="C57" s="10" t="n">
        <v>2</v>
      </c>
      <c r="D57" s="11" t="s">
        <v>23</v>
      </c>
      <c r="E57" s="10" t="s">
        <v>28</v>
      </c>
      <c r="F57" s="12" t="s">
        <v>18</v>
      </c>
      <c r="G57" s="12" t="s">
        <v>19</v>
      </c>
      <c r="H57" s="11" t="s">
        <v>46</v>
      </c>
      <c r="I57" s="13" t="n">
        <v>968</v>
      </c>
      <c r="J57" s="13" t="n">
        <v>19</v>
      </c>
      <c r="K57" s="12" t="s">
        <v>47</v>
      </c>
      <c r="L57" s="14" t="n">
        <v>59.1</v>
      </c>
    </row>
    <row r="58" customFormat="false" ht="16.5" hidden="false" customHeight="true" outlineLevel="0" collapsed="false">
      <c r="A58" s="5" t="s">
        <v>123</v>
      </c>
      <c r="B58" s="6" t="s">
        <v>124</v>
      </c>
      <c r="C58" s="5" t="n">
        <v>2</v>
      </c>
      <c r="D58" s="6" t="s">
        <v>27</v>
      </c>
      <c r="E58" s="5" t="s">
        <v>37</v>
      </c>
      <c r="F58" s="7" t="s">
        <v>38</v>
      </c>
      <c r="G58" s="7" t="s">
        <v>29</v>
      </c>
      <c r="H58" s="6" t="s">
        <v>32</v>
      </c>
      <c r="I58" s="8" t="n">
        <v>814</v>
      </c>
      <c r="J58" s="8" t="n">
        <v>44</v>
      </c>
      <c r="K58" s="7" t="s">
        <v>24</v>
      </c>
      <c r="L58" s="9" t="n">
        <v>101.4</v>
      </c>
    </row>
    <row r="59" customFormat="false" ht="16.5" hidden="false" customHeight="true" outlineLevel="0" collapsed="false">
      <c r="A59" s="10" t="s">
        <v>125</v>
      </c>
      <c r="B59" s="11" t="s">
        <v>124</v>
      </c>
      <c r="C59" s="10" t="n">
        <v>2</v>
      </c>
      <c r="D59" s="11" t="s">
        <v>27</v>
      </c>
      <c r="E59" s="10" t="s">
        <v>28</v>
      </c>
      <c r="F59" s="12" t="s">
        <v>18</v>
      </c>
      <c r="G59" s="12" t="s">
        <v>29</v>
      </c>
      <c r="H59" s="11" t="s">
        <v>32</v>
      </c>
      <c r="I59" s="13" t="n">
        <v>889</v>
      </c>
      <c r="J59" s="13" t="n">
        <v>29</v>
      </c>
      <c r="K59" s="12" t="s">
        <v>24</v>
      </c>
      <c r="L59" s="14" t="n">
        <v>64.4</v>
      </c>
    </row>
    <row r="60" customFormat="false" ht="16.5" hidden="false" customHeight="true" outlineLevel="0" collapsed="false">
      <c r="A60" s="5" t="s">
        <v>126</v>
      </c>
      <c r="B60" s="6" t="s">
        <v>127</v>
      </c>
      <c r="C60" s="5" t="n">
        <v>2</v>
      </c>
      <c r="D60" s="6" t="s">
        <v>27</v>
      </c>
      <c r="E60" s="5" t="s">
        <v>34</v>
      </c>
      <c r="F60" s="7" t="s">
        <v>18</v>
      </c>
      <c r="G60" s="7" t="s">
        <v>19</v>
      </c>
      <c r="H60" s="6" t="s">
        <v>46</v>
      </c>
      <c r="I60" s="8" t="n">
        <v>976</v>
      </c>
      <c r="J60" s="8" t="n">
        <v>18</v>
      </c>
      <c r="K60" s="7" t="s">
        <v>21</v>
      </c>
      <c r="L60" s="9" t="n">
        <v>55.4</v>
      </c>
    </row>
    <row r="61" customFormat="false" ht="16.5" hidden="false" customHeight="true" outlineLevel="0" collapsed="false">
      <c r="A61" s="10" t="s">
        <v>128</v>
      </c>
      <c r="B61" s="11" t="s">
        <v>127</v>
      </c>
      <c r="C61" s="10" t="n">
        <v>2</v>
      </c>
      <c r="D61" s="11" t="s">
        <v>27</v>
      </c>
      <c r="E61" s="10" t="s">
        <v>17</v>
      </c>
      <c r="F61" s="12" t="s">
        <v>18</v>
      </c>
      <c r="G61" s="12" t="s">
        <v>19</v>
      </c>
      <c r="H61" s="11" t="s">
        <v>20</v>
      </c>
      <c r="I61" s="13" t="n">
        <v>930</v>
      </c>
      <c r="J61" s="13" t="n">
        <v>23</v>
      </c>
      <c r="K61" s="12" t="s">
        <v>21</v>
      </c>
      <c r="L61" s="14" t="n">
        <v>58.9</v>
      </c>
    </row>
    <row r="62" customFormat="false" ht="16.5" hidden="false" customHeight="true" outlineLevel="0" collapsed="false">
      <c r="A62" s="5" t="s">
        <v>129</v>
      </c>
      <c r="B62" s="6" t="s">
        <v>130</v>
      </c>
      <c r="C62" s="5" t="n">
        <v>2</v>
      </c>
      <c r="D62" s="6" t="s">
        <v>23</v>
      </c>
      <c r="E62" s="5" t="s">
        <v>28</v>
      </c>
      <c r="F62" s="7" t="s">
        <v>18</v>
      </c>
      <c r="G62" s="7" t="s">
        <v>19</v>
      </c>
      <c r="H62" s="6" t="s">
        <v>39</v>
      </c>
      <c r="I62" s="8" t="n">
        <v>969</v>
      </c>
      <c r="J62" s="8" t="n">
        <v>14</v>
      </c>
      <c r="K62" s="7" t="s">
        <v>24</v>
      </c>
      <c r="L62" s="9" t="n">
        <v>54.9</v>
      </c>
    </row>
    <row r="63" customFormat="false" ht="16.5" hidden="false" customHeight="true" outlineLevel="0" collapsed="false">
      <c r="A63" s="10" t="s">
        <v>131</v>
      </c>
      <c r="B63" s="11" t="s">
        <v>130</v>
      </c>
      <c r="C63" s="10" t="n">
        <v>2</v>
      </c>
      <c r="D63" s="11" t="s">
        <v>27</v>
      </c>
      <c r="E63" s="10" t="s">
        <v>34</v>
      </c>
      <c r="F63" s="12" t="s">
        <v>18</v>
      </c>
      <c r="G63" s="12" t="s">
        <v>19</v>
      </c>
      <c r="H63" s="11" t="s">
        <v>46</v>
      </c>
      <c r="I63" s="13" t="n">
        <v>967</v>
      </c>
      <c r="J63" s="13" t="n">
        <v>16</v>
      </c>
      <c r="K63" s="12" t="s">
        <v>24</v>
      </c>
      <c r="L63" s="14" t="n">
        <v>59.4</v>
      </c>
    </row>
    <row r="64" customFormat="false" ht="16.5" hidden="false" customHeight="true" outlineLevel="0" collapsed="false">
      <c r="A64" s="5" t="s">
        <v>132</v>
      </c>
      <c r="B64" s="6" t="s">
        <v>133</v>
      </c>
      <c r="C64" s="5" t="n">
        <v>2</v>
      </c>
      <c r="D64" s="6" t="s">
        <v>16</v>
      </c>
      <c r="E64" s="5" t="s">
        <v>37</v>
      </c>
      <c r="F64" s="7" t="s">
        <v>38</v>
      </c>
      <c r="G64" s="7" t="s">
        <v>29</v>
      </c>
      <c r="H64" s="6" t="s">
        <v>30</v>
      </c>
      <c r="I64" s="8" t="n">
        <v>1183</v>
      </c>
      <c r="J64" s="8" t="n">
        <v>71</v>
      </c>
      <c r="K64" s="7" t="s">
        <v>47</v>
      </c>
      <c r="L64" s="9" t="n">
        <v>63.1</v>
      </c>
    </row>
    <row r="65" customFormat="false" ht="16.5" hidden="false" customHeight="true" outlineLevel="0" collapsed="false">
      <c r="A65" s="10" t="s">
        <v>134</v>
      </c>
      <c r="B65" s="11" t="s">
        <v>133</v>
      </c>
      <c r="C65" s="10" t="n">
        <v>2</v>
      </c>
      <c r="D65" s="11" t="s">
        <v>23</v>
      </c>
      <c r="E65" s="10" t="s">
        <v>37</v>
      </c>
      <c r="F65" s="12" t="s">
        <v>38</v>
      </c>
      <c r="G65" s="12" t="s">
        <v>29</v>
      </c>
      <c r="H65" s="11" t="s">
        <v>41</v>
      </c>
      <c r="I65" s="13" t="n">
        <v>1045</v>
      </c>
      <c r="J65" s="13" t="n">
        <v>29</v>
      </c>
      <c r="K65" s="12" t="s">
        <v>24</v>
      </c>
      <c r="L65" s="14" t="n">
        <v>53.7</v>
      </c>
    </row>
    <row r="66" customFormat="false" ht="16.5" hidden="false" customHeight="true" outlineLevel="0" collapsed="false">
      <c r="A66" s="5" t="s">
        <v>135</v>
      </c>
      <c r="B66" s="6" t="s">
        <v>136</v>
      </c>
      <c r="C66" s="5" t="n">
        <v>2</v>
      </c>
      <c r="D66" s="6" t="s">
        <v>23</v>
      </c>
      <c r="E66" s="5" t="s">
        <v>17</v>
      </c>
      <c r="F66" s="7" t="s">
        <v>18</v>
      </c>
      <c r="G66" s="7" t="s">
        <v>19</v>
      </c>
      <c r="H66" s="6" t="s">
        <v>46</v>
      </c>
      <c r="I66" s="8" t="n">
        <v>1096</v>
      </c>
      <c r="J66" s="8" t="n">
        <v>18</v>
      </c>
      <c r="K66" s="7" t="s">
        <v>47</v>
      </c>
      <c r="L66" s="9" t="n">
        <v>56.4</v>
      </c>
    </row>
    <row r="67" customFormat="false" ht="16.5" hidden="false" customHeight="true" outlineLevel="0" collapsed="false">
      <c r="A67" s="10" t="s">
        <v>137</v>
      </c>
      <c r="B67" s="11" t="s">
        <v>138</v>
      </c>
      <c r="C67" s="10" t="n">
        <v>2</v>
      </c>
      <c r="D67" s="11" t="s">
        <v>27</v>
      </c>
      <c r="E67" s="10" t="s">
        <v>28</v>
      </c>
      <c r="F67" s="12" t="s">
        <v>18</v>
      </c>
      <c r="G67" s="12" t="s">
        <v>19</v>
      </c>
      <c r="H67" s="11" t="s">
        <v>20</v>
      </c>
      <c r="I67" s="13" t="n">
        <v>1137</v>
      </c>
      <c r="J67" s="13" t="n">
        <v>28</v>
      </c>
      <c r="K67" s="12" t="s">
        <v>21</v>
      </c>
      <c r="L67" s="14" t="n">
        <v>59.8</v>
      </c>
    </row>
    <row r="68" customFormat="false" ht="16.5" hidden="false" customHeight="true" outlineLevel="0" collapsed="false">
      <c r="A68" s="5" t="s">
        <v>139</v>
      </c>
      <c r="B68" s="6" t="s">
        <v>140</v>
      </c>
      <c r="C68" s="5" t="n">
        <v>2</v>
      </c>
      <c r="D68" s="6" t="s">
        <v>23</v>
      </c>
      <c r="E68" s="5" t="s">
        <v>34</v>
      </c>
      <c r="F68" s="7" t="s">
        <v>18</v>
      </c>
      <c r="G68" s="7" t="s">
        <v>19</v>
      </c>
      <c r="H68" s="6" t="s">
        <v>39</v>
      </c>
      <c r="I68" s="8" t="n">
        <v>958</v>
      </c>
      <c r="J68" s="8" t="n">
        <v>19</v>
      </c>
      <c r="K68" s="7" t="s">
        <v>24</v>
      </c>
      <c r="L68" s="9" t="n">
        <v>60</v>
      </c>
    </row>
    <row r="69" customFormat="false" ht="16.5" hidden="false" customHeight="true" outlineLevel="0" collapsed="false">
      <c r="A69" s="10" t="s">
        <v>141</v>
      </c>
      <c r="B69" s="11" t="s">
        <v>140</v>
      </c>
      <c r="C69" s="10" t="n">
        <v>2</v>
      </c>
      <c r="D69" s="11" t="s">
        <v>16</v>
      </c>
      <c r="E69" s="10" t="s">
        <v>17</v>
      </c>
      <c r="F69" s="12" t="s">
        <v>18</v>
      </c>
      <c r="G69" s="12" t="s">
        <v>19</v>
      </c>
      <c r="H69" s="11" t="s">
        <v>39</v>
      </c>
      <c r="I69" s="13" t="n">
        <v>1193</v>
      </c>
      <c r="J69" s="13" t="n">
        <v>41</v>
      </c>
      <c r="K69" s="12" t="s">
        <v>21</v>
      </c>
      <c r="L69" s="14" t="n">
        <v>59.4</v>
      </c>
    </row>
    <row r="70" customFormat="false" ht="16.5" hidden="false" customHeight="true" outlineLevel="0" collapsed="false">
      <c r="A70" s="5" t="s">
        <v>142</v>
      </c>
      <c r="B70" s="6" t="s">
        <v>140</v>
      </c>
      <c r="C70" s="5" t="n">
        <v>2</v>
      </c>
      <c r="D70" s="6" t="s">
        <v>27</v>
      </c>
      <c r="E70" s="5" t="s">
        <v>28</v>
      </c>
      <c r="F70" s="7" t="s">
        <v>18</v>
      </c>
      <c r="G70" s="7" t="s">
        <v>29</v>
      </c>
      <c r="H70" s="6" t="s">
        <v>32</v>
      </c>
      <c r="I70" s="8" t="n">
        <v>1158</v>
      </c>
      <c r="J70" s="8" t="n">
        <v>27</v>
      </c>
      <c r="K70" s="7" t="s">
        <v>24</v>
      </c>
      <c r="L70" s="9" t="n">
        <v>62.8</v>
      </c>
    </row>
    <row r="71" customFormat="false" ht="16.5" hidden="false" customHeight="true" outlineLevel="0" collapsed="false">
      <c r="A71" s="10" t="s">
        <v>143</v>
      </c>
      <c r="B71" s="11" t="s">
        <v>144</v>
      </c>
      <c r="C71" s="10" t="n">
        <v>2</v>
      </c>
      <c r="D71" s="11" t="s">
        <v>16</v>
      </c>
      <c r="E71" s="10" t="s">
        <v>28</v>
      </c>
      <c r="F71" s="12" t="s">
        <v>18</v>
      </c>
      <c r="G71" s="12" t="s">
        <v>29</v>
      </c>
      <c r="H71" s="11" t="s">
        <v>32</v>
      </c>
      <c r="I71" s="13" t="n">
        <v>1004</v>
      </c>
      <c r="J71" s="13" t="n">
        <v>45</v>
      </c>
      <c r="K71" s="12" t="s">
        <v>24</v>
      </c>
      <c r="L71" s="14" t="n">
        <v>62.4</v>
      </c>
    </row>
    <row r="72" customFormat="false" ht="16.5" hidden="false" customHeight="true" outlineLevel="0" collapsed="false">
      <c r="A72" s="5" t="s">
        <v>145</v>
      </c>
      <c r="B72" s="6" t="s">
        <v>144</v>
      </c>
      <c r="C72" s="5" t="n">
        <v>2</v>
      </c>
      <c r="D72" s="6" t="s">
        <v>23</v>
      </c>
      <c r="E72" s="5" t="s">
        <v>17</v>
      </c>
      <c r="F72" s="7" t="s">
        <v>18</v>
      </c>
      <c r="G72" s="7" t="s">
        <v>29</v>
      </c>
      <c r="H72" s="6" t="s">
        <v>41</v>
      </c>
      <c r="I72" s="8" t="n">
        <v>1156</v>
      </c>
      <c r="J72" s="8" t="n">
        <v>38</v>
      </c>
      <c r="K72" s="7" t="s">
        <v>24</v>
      </c>
      <c r="L72" s="9" t="n">
        <v>57.9</v>
      </c>
    </row>
    <row r="73" customFormat="false" ht="16.5" hidden="false" customHeight="true" outlineLevel="0" collapsed="false">
      <c r="A73" s="10" t="s">
        <v>146</v>
      </c>
      <c r="B73" s="11" t="s">
        <v>147</v>
      </c>
      <c r="C73" s="10" t="n">
        <v>2</v>
      </c>
      <c r="D73" s="11" t="s">
        <v>16</v>
      </c>
      <c r="E73" s="10" t="s">
        <v>37</v>
      </c>
      <c r="F73" s="12" t="s">
        <v>38</v>
      </c>
      <c r="G73" s="12" t="s">
        <v>19</v>
      </c>
      <c r="H73" s="11" t="s">
        <v>39</v>
      </c>
      <c r="I73" s="13" t="n">
        <v>1071</v>
      </c>
      <c r="J73" s="13" t="n">
        <v>50</v>
      </c>
      <c r="K73" s="12" t="s">
        <v>47</v>
      </c>
      <c r="L73" s="14" t="n">
        <v>73.5</v>
      </c>
    </row>
    <row r="74" customFormat="false" ht="16.5" hidden="false" customHeight="true" outlineLevel="0" collapsed="false">
      <c r="A74" s="5" t="s">
        <v>148</v>
      </c>
      <c r="B74" s="6" t="s">
        <v>149</v>
      </c>
      <c r="C74" s="5" t="n">
        <v>2</v>
      </c>
      <c r="D74" s="6" t="s">
        <v>27</v>
      </c>
      <c r="E74" s="5" t="s">
        <v>37</v>
      </c>
      <c r="F74" s="7" t="s">
        <v>38</v>
      </c>
      <c r="G74" s="7" t="s">
        <v>29</v>
      </c>
      <c r="H74" s="6" t="s">
        <v>32</v>
      </c>
      <c r="I74" s="8" t="n">
        <v>881</v>
      </c>
      <c r="J74" s="8" t="n">
        <v>39</v>
      </c>
      <c r="K74" s="7" t="s">
        <v>47</v>
      </c>
      <c r="L74" s="9" t="n">
        <v>58</v>
      </c>
    </row>
    <row r="75" customFormat="false" ht="16.5" hidden="false" customHeight="true" outlineLevel="0" collapsed="false">
      <c r="A75" s="10" t="s">
        <v>150</v>
      </c>
      <c r="B75" s="11" t="s">
        <v>149</v>
      </c>
      <c r="C75" s="10" t="n">
        <v>2</v>
      </c>
      <c r="D75" s="11" t="s">
        <v>16</v>
      </c>
      <c r="E75" s="10" t="s">
        <v>28</v>
      </c>
      <c r="F75" s="12" t="s">
        <v>18</v>
      </c>
      <c r="G75" s="12" t="s">
        <v>29</v>
      </c>
      <c r="H75" s="11" t="s">
        <v>30</v>
      </c>
      <c r="I75" s="13" t="n">
        <v>1048</v>
      </c>
      <c r="J75" s="13" t="n">
        <v>44</v>
      </c>
      <c r="K75" s="12" t="s">
        <v>24</v>
      </c>
      <c r="L75" s="14" t="n">
        <v>56.3</v>
      </c>
    </row>
    <row r="76" customFormat="false" ht="16.5" hidden="false" customHeight="true" outlineLevel="0" collapsed="false">
      <c r="A76" s="5" t="s">
        <v>151</v>
      </c>
      <c r="B76" s="6" t="s">
        <v>152</v>
      </c>
      <c r="C76" s="5" t="n">
        <v>2</v>
      </c>
      <c r="D76" s="6" t="s">
        <v>16</v>
      </c>
      <c r="E76" s="5" t="s">
        <v>34</v>
      </c>
      <c r="F76" s="7" t="s">
        <v>18</v>
      </c>
      <c r="G76" s="7" t="s">
        <v>19</v>
      </c>
      <c r="H76" s="6" t="s">
        <v>46</v>
      </c>
      <c r="I76" s="8" t="n">
        <v>1076</v>
      </c>
      <c r="J76" s="8" t="n">
        <v>26</v>
      </c>
      <c r="K76" s="7" t="s">
        <v>47</v>
      </c>
      <c r="L76" s="9" t="n">
        <v>58.8</v>
      </c>
    </row>
    <row r="77" customFormat="false" ht="16.5" hidden="false" customHeight="true" outlineLevel="0" collapsed="false">
      <c r="A77" s="10" t="s">
        <v>153</v>
      </c>
      <c r="B77" s="11" t="s">
        <v>152</v>
      </c>
      <c r="C77" s="10" t="n">
        <v>2</v>
      </c>
      <c r="D77" s="11" t="s">
        <v>23</v>
      </c>
      <c r="E77" s="10" t="s">
        <v>28</v>
      </c>
      <c r="F77" s="12" t="s">
        <v>18</v>
      </c>
      <c r="G77" s="12" t="s">
        <v>29</v>
      </c>
      <c r="H77" s="11" t="s">
        <v>32</v>
      </c>
      <c r="I77" s="13" t="n">
        <v>1008</v>
      </c>
      <c r="J77" s="13" t="n">
        <v>23</v>
      </c>
      <c r="K77" s="12" t="s">
        <v>24</v>
      </c>
      <c r="L77" s="14" t="n">
        <v>60.9</v>
      </c>
    </row>
    <row r="78" customFormat="false" ht="16.5" hidden="false" customHeight="true" outlineLevel="0" collapsed="false">
      <c r="A78" s="5" t="s">
        <v>154</v>
      </c>
      <c r="B78" s="6" t="s">
        <v>155</v>
      </c>
      <c r="C78" s="5" t="n">
        <v>2</v>
      </c>
      <c r="D78" s="6" t="s">
        <v>27</v>
      </c>
      <c r="E78" s="5" t="s">
        <v>37</v>
      </c>
      <c r="F78" s="7" t="s">
        <v>38</v>
      </c>
      <c r="G78" s="7" t="s">
        <v>19</v>
      </c>
      <c r="H78" s="6" t="s">
        <v>39</v>
      </c>
      <c r="I78" s="8" t="n">
        <v>810</v>
      </c>
      <c r="J78" s="8" t="n">
        <v>22</v>
      </c>
      <c r="K78" s="7" t="s">
        <v>47</v>
      </c>
      <c r="L78" s="9" t="n">
        <v>55</v>
      </c>
    </row>
    <row r="79" customFormat="false" ht="16.5" hidden="false" customHeight="true" outlineLevel="0" collapsed="false">
      <c r="A79" s="10" t="s">
        <v>156</v>
      </c>
      <c r="B79" s="11" t="s">
        <v>157</v>
      </c>
      <c r="C79" s="10" t="n">
        <v>2</v>
      </c>
      <c r="D79" s="11" t="s">
        <v>16</v>
      </c>
      <c r="E79" s="10" t="s">
        <v>17</v>
      </c>
      <c r="F79" s="12" t="s">
        <v>18</v>
      </c>
      <c r="G79" s="12" t="s">
        <v>29</v>
      </c>
      <c r="H79" s="11" t="s">
        <v>32</v>
      </c>
      <c r="I79" s="13" t="n">
        <v>1014</v>
      </c>
      <c r="J79" s="13" t="n">
        <v>26</v>
      </c>
      <c r="K79" s="12" t="s">
        <v>21</v>
      </c>
      <c r="L79" s="14" t="n">
        <v>56.8</v>
      </c>
    </row>
    <row r="80" customFormat="false" ht="16.5" hidden="false" customHeight="true" outlineLevel="0" collapsed="false">
      <c r="A80" s="5" t="s">
        <v>158</v>
      </c>
      <c r="B80" s="6" t="s">
        <v>159</v>
      </c>
      <c r="C80" s="5" t="n">
        <v>2</v>
      </c>
      <c r="D80" s="6" t="s">
        <v>16</v>
      </c>
      <c r="E80" s="5" t="s">
        <v>37</v>
      </c>
      <c r="F80" s="7" t="s">
        <v>38</v>
      </c>
      <c r="G80" s="7" t="s">
        <v>19</v>
      </c>
      <c r="H80" s="6" t="s">
        <v>46</v>
      </c>
      <c r="I80" s="8" t="n">
        <v>814</v>
      </c>
      <c r="J80" s="8" t="n">
        <v>19</v>
      </c>
      <c r="K80" s="7" t="s">
        <v>47</v>
      </c>
      <c r="L80" s="9" t="n">
        <v>89.3</v>
      </c>
    </row>
    <row r="81" customFormat="false" ht="16.5" hidden="false" customHeight="true" outlineLevel="0" collapsed="false">
      <c r="A81" s="10" t="s">
        <v>160</v>
      </c>
      <c r="B81" s="11" t="s">
        <v>161</v>
      </c>
      <c r="C81" s="10" t="n">
        <v>2</v>
      </c>
      <c r="D81" s="11" t="s">
        <v>23</v>
      </c>
      <c r="E81" s="10" t="s">
        <v>28</v>
      </c>
      <c r="F81" s="12" t="s">
        <v>18</v>
      </c>
      <c r="G81" s="12" t="s">
        <v>29</v>
      </c>
      <c r="H81" s="11" t="s">
        <v>30</v>
      </c>
      <c r="I81" s="13" t="n">
        <v>1073</v>
      </c>
      <c r="J81" s="13" t="n">
        <v>33</v>
      </c>
      <c r="K81" s="12" t="s">
        <v>21</v>
      </c>
      <c r="L81" s="14" t="n">
        <v>58.5</v>
      </c>
    </row>
    <row r="82" customFormat="false" ht="16.5" hidden="false" customHeight="true" outlineLevel="0" collapsed="false">
      <c r="A82" s="5" t="s">
        <v>162</v>
      </c>
      <c r="B82" s="6" t="s">
        <v>161</v>
      </c>
      <c r="C82" s="5" t="n">
        <v>2</v>
      </c>
      <c r="D82" s="6" t="s">
        <v>16</v>
      </c>
      <c r="E82" s="5" t="s">
        <v>17</v>
      </c>
      <c r="F82" s="7" t="s">
        <v>18</v>
      </c>
      <c r="G82" s="7" t="s">
        <v>19</v>
      </c>
      <c r="H82" s="6" t="s">
        <v>20</v>
      </c>
      <c r="I82" s="8" t="n">
        <v>1036</v>
      </c>
      <c r="J82" s="8" t="n">
        <v>24</v>
      </c>
      <c r="K82" s="7" t="s">
        <v>47</v>
      </c>
      <c r="L82" s="9" t="n">
        <v>60.1</v>
      </c>
    </row>
    <row r="83" customFormat="false" ht="16.5" hidden="false" customHeight="true" outlineLevel="0" collapsed="false">
      <c r="A83" s="10" t="s">
        <v>163</v>
      </c>
      <c r="B83" s="11" t="s">
        <v>164</v>
      </c>
      <c r="C83" s="10" t="n">
        <v>2</v>
      </c>
      <c r="D83" s="11" t="s">
        <v>16</v>
      </c>
      <c r="E83" s="10" t="s">
        <v>37</v>
      </c>
      <c r="F83" s="12" t="s">
        <v>38</v>
      </c>
      <c r="G83" s="12" t="s">
        <v>19</v>
      </c>
      <c r="H83" s="11" t="s">
        <v>46</v>
      </c>
      <c r="I83" s="13" t="n">
        <v>1185</v>
      </c>
      <c r="J83" s="13" t="n">
        <v>41</v>
      </c>
      <c r="K83" s="12" t="s">
        <v>24</v>
      </c>
      <c r="L83" s="14" t="n">
        <v>70.3</v>
      </c>
    </row>
    <row r="84" customFormat="false" ht="16.5" hidden="false" customHeight="true" outlineLevel="0" collapsed="false">
      <c r="A84" s="5" t="s">
        <v>165</v>
      </c>
      <c r="B84" s="6" t="s">
        <v>166</v>
      </c>
      <c r="C84" s="5" t="n">
        <v>2</v>
      </c>
      <c r="D84" s="6" t="s">
        <v>23</v>
      </c>
      <c r="E84" s="5" t="s">
        <v>17</v>
      </c>
      <c r="F84" s="7" t="s">
        <v>18</v>
      </c>
      <c r="G84" s="7" t="s">
        <v>29</v>
      </c>
      <c r="H84" s="6" t="s">
        <v>32</v>
      </c>
      <c r="I84" s="8" t="n">
        <v>914</v>
      </c>
      <c r="J84" s="8" t="n">
        <v>19</v>
      </c>
      <c r="K84" s="7" t="s">
        <v>21</v>
      </c>
      <c r="L84" s="9" t="n">
        <v>53.8</v>
      </c>
    </row>
    <row r="85" customFormat="false" ht="16.5" hidden="false" customHeight="true" outlineLevel="0" collapsed="false">
      <c r="A85" s="10" t="s">
        <v>167</v>
      </c>
      <c r="B85" s="11" t="s">
        <v>168</v>
      </c>
      <c r="C85" s="10" t="n">
        <v>2</v>
      </c>
      <c r="D85" s="11" t="s">
        <v>23</v>
      </c>
      <c r="E85" s="10" t="s">
        <v>17</v>
      </c>
      <c r="F85" s="12" t="s">
        <v>18</v>
      </c>
      <c r="G85" s="12" t="s">
        <v>29</v>
      </c>
      <c r="H85" s="11" t="s">
        <v>41</v>
      </c>
      <c r="I85" s="13" t="n">
        <v>1118</v>
      </c>
      <c r="J85" s="13" t="n">
        <v>31</v>
      </c>
      <c r="K85" s="12" t="s">
        <v>21</v>
      </c>
      <c r="L85" s="14" t="n">
        <v>59.3</v>
      </c>
    </row>
    <row r="86" customFormat="false" ht="16.5" hidden="false" customHeight="true" outlineLevel="0" collapsed="false">
      <c r="A86" s="5" t="s">
        <v>169</v>
      </c>
      <c r="B86" s="6" t="s">
        <v>168</v>
      </c>
      <c r="C86" s="5" t="n">
        <v>2</v>
      </c>
      <c r="D86" s="6" t="s">
        <v>16</v>
      </c>
      <c r="E86" s="5" t="s">
        <v>34</v>
      </c>
      <c r="F86" s="7" t="s">
        <v>18</v>
      </c>
      <c r="G86" s="7" t="s">
        <v>29</v>
      </c>
      <c r="H86" s="6" t="s">
        <v>32</v>
      </c>
      <c r="I86" s="8" t="n">
        <v>1173</v>
      </c>
      <c r="J86" s="8" t="n">
        <v>34</v>
      </c>
      <c r="K86" s="7" t="s">
        <v>21</v>
      </c>
      <c r="L86" s="9" t="n">
        <v>61</v>
      </c>
    </row>
    <row r="87" customFormat="false" ht="16.5" hidden="false" customHeight="true" outlineLevel="0" collapsed="false">
      <c r="A87" s="10" t="s">
        <v>170</v>
      </c>
      <c r="B87" s="11" t="s">
        <v>171</v>
      </c>
      <c r="C87" s="10" t="n">
        <v>2</v>
      </c>
      <c r="D87" s="11" t="s">
        <v>16</v>
      </c>
      <c r="E87" s="10" t="s">
        <v>28</v>
      </c>
      <c r="F87" s="12" t="s">
        <v>18</v>
      </c>
      <c r="G87" s="12" t="s">
        <v>19</v>
      </c>
      <c r="H87" s="11" t="s">
        <v>46</v>
      </c>
      <c r="I87" s="13" t="n">
        <v>885</v>
      </c>
      <c r="J87" s="13" t="n">
        <v>10</v>
      </c>
      <c r="K87" s="12" t="s">
        <v>21</v>
      </c>
      <c r="L87" s="14" t="n">
        <v>53.2</v>
      </c>
    </row>
    <row r="88" customFormat="false" ht="16.5" hidden="false" customHeight="true" outlineLevel="0" collapsed="false">
      <c r="A88" s="5" t="s">
        <v>172</v>
      </c>
      <c r="B88" s="6" t="s">
        <v>171</v>
      </c>
      <c r="C88" s="5" t="n">
        <v>2</v>
      </c>
      <c r="D88" s="6" t="s">
        <v>27</v>
      </c>
      <c r="E88" s="5" t="s">
        <v>17</v>
      </c>
      <c r="F88" s="7" t="s">
        <v>18</v>
      </c>
      <c r="G88" s="7" t="s">
        <v>29</v>
      </c>
      <c r="H88" s="6" t="s">
        <v>32</v>
      </c>
      <c r="I88" s="8" t="n">
        <v>943</v>
      </c>
      <c r="J88" s="8" t="n">
        <v>28</v>
      </c>
      <c r="K88" s="7" t="s">
        <v>47</v>
      </c>
      <c r="L88" s="9" t="n">
        <v>59</v>
      </c>
    </row>
    <row r="89" customFormat="false" ht="16.5" hidden="false" customHeight="true" outlineLevel="0" collapsed="false">
      <c r="A89" s="10" t="s">
        <v>173</v>
      </c>
      <c r="B89" s="11" t="s">
        <v>174</v>
      </c>
      <c r="C89" s="10" t="n">
        <v>2</v>
      </c>
      <c r="D89" s="11" t="s">
        <v>23</v>
      </c>
      <c r="E89" s="10" t="s">
        <v>28</v>
      </c>
      <c r="F89" s="12" t="s">
        <v>18</v>
      </c>
      <c r="G89" s="12" t="s">
        <v>29</v>
      </c>
      <c r="H89" s="11" t="s">
        <v>30</v>
      </c>
      <c r="I89" s="13" t="n">
        <v>813</v>
      </c>
      <c r="J89" s="13" t="n">
        <v>26</v>
      </c>
      <c r="K89" s="12" t="s">
        <v>47</v>
      </c>
      <c r="L89" s="14" t="n">
        <v>56.3</v>
      </c>
    </row>
    <row r="90" customFormat="false" ht="16.5" hidden="false" customHeight="true" outlineLevel="0" collapsed="false">
      <c r="A90" s="5" t="s">
        <v>175</v>
      </c>
      <c r="B90" s="6" t="s">
        <v>176</v>
      </c>
      <c r="C90" s="5" t="n">
        <v>2</v>
      </c>
      <c r="D90" s="6" t="s">
        <v>27</v>
      </c>
      <c r="E90" s="5" t="s">
        <v>28</v>
      </c>
      <c r="F90" s="7" t="s">
        <v>18</v>
      </c>
      <c r="G90" s="7" t="s">
        <v>19</v>
      </c>
      <c r="H90" s="6" t="s">
        <v>39</v>
      </c>
      <c r="I90" s="8" t="n">
        <v>924</v>
      </c>
      <c r="J90" s="8" t="n">
        <v>20</v>
      </c>
      <c r="K90" s="7" t="s">
        <v>21</v>
      </c>
      <c r="L90" s="9" t="n">
        <v>61.1</v>
      </c>
    </row>
    <row r="91" customFormat="false" ht="16.5" hidden="false" customHeight="true" outlineLevel="0" collapsed="false">
      <c r="A91" s="10" t="s">
        <v>177</v>
      </c>
      <c r="B91" s="11" t="s">
        <v>178</v>
      </c>
      <c r="C91" s="10" t="n">
        <v>2</v>
      </c>
      <c r="D91" s="11" t="s">
        <v>27</v>
      </c>
      <c r="E91" s="10" t="s">
        <v>17</v>
      </c>
      <c r="F91" s="12" t="s">
        <v>18</v>
      </c>
      <c r="G91" s="12" t="s">
        <v>29</v>
      </c>
      <c r="H91" s="11" t="s">
        <v>41</v>
      </c>
      <c r="I91" s="13" t="n">
        <v>977</v>
      </c>
      <c r="J91" s="13" t="n">
        <v>18</v>
      </c>
      <c r="K91" s="12" t="s">
        <v>24</v>
      </c>
      <c r="L91" s="14" t="n">
        <v>57.1</v>
      </c>
    </row>
    <row r="92" customFormat="false" ht="16.5" hidden="false" customHeight="true" outlineLevel="0" collapsed="false">
      <c r="A92" s="5" t="s">
        <v>179</v>
      </c>
      <c r="B92" s="6" t="s">
        <v>178</v>
      </c>
      <c r="C92" s="5" t="n">
        <v>2</v>
      </c>
      <c r="D92" s="6" t="s">
        <v>16</v>
      </c>
      <c r="E92" s="5" t="s">
        <v>34</v>
      </c>
      <c r="F92" s="7" t="s">
        <v>18</v>
      </c>
      <c r="G92" s="7" t="s">
        <v>19</v>
      </c>
      <c r="H92" s="6" t="s">
        <v>46</v>
      </c>
      <c r="I92" s="8" t="n">
        <v>854</v>
      </c>
      <c r="J92" s="8" t="n">
        <v>15</v>
      </c>
      <c r="K92" s="7" t="s">
        <v>47</v>
      </c>
      <c r="L92" s="9" t="n">
        <v>59.2</v>
      </c>
    </row>
    <row r="93" customFormat="false" ht="16.5" hidden="false" customHeight="true" outlineLevel="0" collapsed="false">
      <c r="A93" s="10" t="s">
        <v>180</v>
      </c>
      <c r="B93" s="11" t="s">
        <v>178</v>
      </c>
      <c r="C93" s="10" t="n">
        <v>2</v>
      </c>
      <c r="D93" s="11" t="s">
        <v>23</v>
      </c>
      <c r="E93" s="10" t="s">
        <v>28</v>
      </c>
      <c r="F93" s="12" t="s">
        <v>18</v>
      </c>
      <c r="G93" s="12" t="s">
        <v>29</v>
      </c>
      <c r="H93" s="11" t="s">
        <v>30</v>
      </c>
      <c r="I93" s="13" t="n">
        <v>988</v>
      </c>
      <c r="J93" s="13" t="n">
        <v>11</v>
      </c>
      <c r="K93" s="12" t="s">
        <v>47</v>
      </c>
      <c r="L93" s="14" t="n">
        <v>54.2</v>
      </c>
    </row>
    <row r="94" customFormat="false" ht="16.5" hidden="false" customHeight="true" outlineLevel="0" collapsed="false">
      <c r="A94" s="5" t="s">
        <v>181</v>
      </c>
      <c r="B94" s="6" t="s">
        <v>182</v>
      </c>
      <c r="C94" s="5" t="n">
        <v>2</v>
      </c>
      <c r="D94" s="6" t="s">
        <v>27</v>
      </c>
      <c r="E94" s="5" t="s">
        <v>28</v>
      </c>
      <c r="F94" s="7" t="s">
        <v>18</v>
      </c>
      <c r="G94" s="7" t="s">
        <v>19</v>
      </c>
      <c r="H94" s="6" t="s">
        <v>39</v>
      </c>
      <c r="I94" s="8" t="n">
        <v>1133</v>
      </c>
      <c r="J94" s="8" t="n">
        <v>15</v>
      </c>
      <c r="K94" s="7" t="s">
        <v>21</v>
      </c>
      <c r="L94" s="9" t="n">
        <v>63.4</v>
      </c>
    </row>
    <row r="95" customFormat="false" ht="16.5" hidden="false" customHeight="true" outlineLevel="0" collapsed="false">
      <c r="A95" s="10" t="s">
        <v>183</v>
      </c>
      <c r="B95" s="11" t="s">
        <v>182</v>
      </c>
      <c r="C95" s="10" t="n">
        <v>2</v>
      </c>
      <c r="D95" s="11" t="s">
        <v>27</v>
      </c>
      <c r="E95" s="10" t="s">
        <v>37</v>
      </c>
      <c r="F95" s="12" t="s">
        <v>38</v>
      </c>
      <c r="G95" s="12" t="s">
        <v>19</v>
      </c>
      <c r="H95" s="11" t="s">
        <v>39</v>
      </c>
      <c r="I95" s="13" t="n">
        <v>937</v>
      </c>
      <c r="J95" s="13" t="n">
        <v>19</v>
      </c>
      <c r="K95" s="12" t="s">
        <v>24</v>
      </c>
      <c r="L95" s="14" t="n">
        <v>85.1</v>
      </c>
    </row>
    <row r="96" customFormat="false" ht="16.5" hidden="false" customHeight="true" outlineLevel="0" collapsed="false">
      <c r="A96" s="5" t="s">
        <v>184</v>
      </c>
      <c r="B96" s="6" t="s">
        <v>185</v>
      </c>
      <c r="C96" s="5" t="n">
        <v>2</v>
      </c>
      <c r="D96" s="6" t="s">
        <v>16</v>
      </c>
      <c r="E96" s="5" t="s">
        <v>37</v>
      </c>
      <c r="F96" s="7" t="s">
        <v>38</v>
      </c>
      <c r="G96" s="7" t="s">
        <v>19</v>
      </c>
      <c r="H96" s="6" t="s">
        <v>39</v>
      </c>
      <c r="I96" s="8" t="n">
        <v>1112</v>
      </c>
      <c r="J96" s="8" t="n">
        <v>30</v>
      </c>
      <c r="K96" s="7" t="s">
        <v>47</v>
      </c>
      <c r="L96" s="9" t="n">
        <v>63.2</v>
      </c>
    </row>
    <row r="97" customFormat="false" ht="16.5" hidden="false" customHeight="true" outlineLevel="0" collapsed="false">
      <c r="A97" s="10" t="s">
        <v>186</v>
      </c>
      <c r="B97" s="11" t="s">
        <v>185</v>
      </c>
      <c r="C97" s="10" t="n">
        <v>2</v>
      </c>
      <c r="D97" s="11" t="s">
        <v>27</v>
      </c>
      <c r="E97" s="10" t="s">
        <v>34</v>
      </c>
      <c r="F97" s="12" t="s">
        <v>18</v>
      </c>
      <c r="G97" s="12" t="s">
        <v>29</v>
      </c>
      <c r="H97" s="11" t="s">
        <v>30</v>
      </c>
      <c r="I97" s="13" t="n">
        <v>1076</v>
      </c>
      <c r="J97" s="13" t="n">
        <v>19</v>
      </c>
      <c r="K97" s="12" t="s">
        <v>24</v>
      </c>
      <c r="L97" s="14" t="n">
        <v>62</v>
      </c>
    </row>
    <row r="98" customFormat="false" ht="16.5" hidden="false" customHeight="true" outlineLevel="0" collapsed="false">
      <c r="A98" s="5" t="s">
        <v>187</v>
      </c>
      <c r="B98" s="6" t="s">
        <v>188</v>
      </c>
      <c r="C98" s="5" t="n">
        <v>3</v>
      </c>
      <c r="D98" s="6" t="s">
        <v>16</v>
      </c>
      <c r="E98" s="5" t="s">
        <v>28</v>
      </c>
      <c r="F98" s="7" t="s">
        <v>18</v>
      </c>
      <c r="G98" s="7" t="s">
        <v>19</v>
      </c>
      <c r="H98" s="6" t="s">
        <v>46</v>
      </c>
      <c r="I98" s="8" t="n">
        <v>974</v>
      </c>
      <c r="J98" s="8" t="n">
        <v>20</v>
      </c>
      <c r="K98" s="7" t="s">
        <v>47</v>
      </c>
      <c r="L98" s="9" t="n">
        <v>62</v>
      </c>
    </row>
    <row r="99" customFormat="false" ht="16.5" hidden="false" customHeight="true" outlineLevel="0" collapsed="false">
      <c r="A99" s="10" t="s">
        <v>189</v>
      </c>
      <c r="B99" s="11" t="s">
        <v>190</v>
      </c>
      <c r="C99" s="10" t="n">
        <v>3</v>
      </c>
      <c r="D99" s="11" t="s">
        <v>23</v>
      </c>
      <c r="E99" s="10" t="s">
        <v>17</v>
      </c>
      <c r="F99" s="12" t="s">
        <v>18</v>
      </c>
      <c r="G99" s="12" t="s">
        <v>19</v>
      </c>
      <c r="H99" s="11" t="s">
        <v>20</v>
      </c>
      <c r="I99" s="13" t="n">
        <v>923</v>
      </c>
      <c r="J99" s="13" t="n">
        <v>12</v>
      </c>
      <c r="K99" s="12" t="s">
        <v>24</v>
      </c>
      <c r="L99" s="14" t="n">
        <v>54.6</v>
      </c>
    </row>
    <row r="100" customFormat="false" ht="16.5" hidden="false" customHeight="true" outlineLevel="0" collapsed="false">
      <c r="A100" s="5" t="s">
        <v>191</v>
      </c>
      <c r="B100" s="6" t="s">
        <v>190</v>
      </c>
      <c r="C100" s="5" t="n">
        <v>3</v>
      </c>
      <c r="D100" s="6" t="s">
        <v>16</v>
      </c>
      <c r="E100" s="5" t="s">
        <v>37</v>
      </c>
      <c r="F100" s="7" t="s">
        <v>38</v>
      </c>
      <c r="G100" s="7" t="s">
        <v>29</v>
      </c>
      <c r="H100" s="6" t="s">
        <v>32</v>
      </c>
      <c r="I100" s="8" t="n">
        <v>808</v>
      </c>
      <c r="J100" s="8" t="n">
        <v>35</v>
      </c>
      <c r="K100" s="7" t="s">
        <v>21</v>
      </c>
      <c r="L100" s="9" t="n">
        <v>80.9</v>
      </c>
    </row>
    <row r="101" customFormat="false" ht="16.5" hidden="false" customHeight="true" outlineLevel="0" collapsed="false">
      <c r="A101" s="10" t="s">
        <v>192</v>
      </c>
      <c r="B101" s="11" t="s">
        <v>193</v>
      </c>
      <c r="C101" s="10" t="n">
        <v>3</v>
      </c>
      <c r="D101" s="11" t="s">
        <v>16</v>
      </c>
      <c r="E101" s="10" t="s">
        <v>34</v>
      </c>
      <c r="F101" s="12" t="s">
        <v>18</v>
      </c>
      <c r="G101" s="12" t="s">
        <v>29</v>
      </c>
      <c r="H101" s="11" t="s">
        <v>32</v>
      </c>
      <c r="I101" s="13" t="n">
        <v>1083</v>
      </c>
      <c r="J101" s="13" t="n">
        <v>30</v>
      </c>
      <c r="K101" s="12" t="s">
        <v>21</v>
      </c>
      <c r="L101" s="14" t="n">
        <v>57.4</v>
      </c>
    </row>
    <row r="102" customFormat="false" ht="16.5" hidden="false" customHeight="true" outlineLevel="0" collapsed="false">
      <c r="A102" s="5" t="s">
        <v>194</v>
      </c>
      <c r="B102" s="6" t="s">
        <v>195</v>
      </c>
      <c r="C102" s="5" t="n">
        <v>3</v>
      </c>
      <c r="D102" s="6" t="s">
        <v>16</v>
      </c>
      <c r="E102" s="5" t="s">
        <v>34</v>
      </c>
      <c r="F102" s="7" t="s">
        <v>18</v>
      </c>
      <c r="G102" s="7" t="s">
        <v>19</v>
      </c>
      <c r="H102" s="6" t="s">
        <v>46</v>
      </c>
      <c r="I102" s="8" t="n">
        <v>956</v>
      </c>
      <c r="J102" s="8" t="n">
        <v>21</v>
      </c>
      <c r="K102" s="7" t="s">
        <v>24</v>
      </c>
      <c r="L102" s="9" t="n">
        <v>59.5</v>
      </c>
    </row>
    <row r="103" customFormat="false" ht="16.5" hidden="false" customHeight="true" outlineLevel="0" collapsed="false">
      <c r="A103" s="10" t="s">
        <v>196</v>
      </c>
      <c r="B103" s="11" t="s">
        <v>195</v>
      </c>
      <c r="C103" s="10" t="n">
        <v>3</v>
      </c>
      <c r="D103" s="11" t="s">
        <v>27</v>
      </c>
      <c r="E103" s="10" t="s">
        <v>34</v>
      </c>
      <c r="F103" s="12" t="s">
        <v>18</v>
      </c>
      <c r="G103" s="12" t="s">
        <v>19</v>
      </c>
      <c r="H103" s="11" t="s">
        <v>39</v>
      </c>
      <c r="I103" s="13" t="n">
        <v>894</v>
      </c>
      <c r="J103" s="13" t="n">
        <v>16</v>
      </c>
      <c r="K103" s="12" t="s">
        <v>47</v>
      </c>
      <c r="L103" s="14" t="n">
        <v>62.6</v>
      </c>
    </row>
    <row r="104" customFormat="false" ht="16.5" hidden="false" customHeight="true" outlineLevel="0" collapsed="false">
      <c r="A104" s="5" t="s">
        <v>197</v>
      </c>
      <c r="B104" s="6" t="s">
        <v>195</v>
      </c>
      <c r="C104" s="5" t="n">
        <v>3</v>
      </c>
      <c r="D104" s="6" t="s">
        <v>23</v>
      </c>
      <c r="E104" s="5" t="s">
        <v>37</v>
      </c>
      <c r="F104" s="7" t="s">
        <v>38</v>
      </c>
      <c r="G104" s="7" t="s">
        <v>19</v>
      </c>
      <c r="H104" s="6" t="s">
        <v>46</v>
      </c>
      <c r="I104" s="8" t="n">
        <v>1111</v>
      </c>
      <c r="J104" s="8" t="n">
        <v>18</v>
      </c>
      <c r="K104" s="7" t="s">
        <v>21</v>
      </c>
      <c r="L104" s="9" t="n">
        <v>60.1</v>
      </c>
    </row>
    <row r="105" customFormat="false" ht="16.5" hidden="false" customHeight="true" outlineLevel="0" collapsed="false">
      <c r="A105" s="10" t="s">
        <v>198</v>
      </c>
      <c r="B105" s="11" t="s">
        <v>199</v>
      </c>
      <c r="C105" s="10" t="n">
        <v>3</v>
      </c>
      <c r="D105" s="11" t="s">
        <v>23</v>
      </c>
      <c r="E105" s="10" t="s">
        <v>34</v>
      </c>
      <c r="F105" s="12" t="s">
        <v>18</v>
      </c>
      <c r="G105" s="12" t="s">
        <v>29</v>
      </c>
      <c r="H105" s="11" t="s">
        <v>32</v>
      </c>
      <c r="I105" s="13" t="n">
        <v>916</v>
      </c>
      <c r="J105" s="13" t="n">
        <v>21</v>
      </c>
      <c r="K105" s="12" t="s">
        <v>21</v>
      </c>
      <c r="L105" s="14" t="n">
        <v>60</v>
      </c>
    </row>
    <row r="106" customFormat="false" ht="16.5" hidden="false" customHeight="true" outlineLevel="0" collapsed="false">
      <c r="A106" s="5" t="s">
        <v>200</v>
      </c>
      <c r="B106" s="6" t="s">
        <v>199</v>
      </c>
      <c r="C106" s="5" t="n">
        <v>3</v>
      </c>
      <c r="D106" s="6" t="s">
        <v>23</v>
      </c>
      <c r="E106" s="5" t="s">
        <v>28</v>
      </c>
      <c r="F106" s="7" t="s">
        <v>18</v>
      </c>
      <c r="G106" s="7" t="s">
        <v>19</v>
      </c>
      <c r="H106" s="6" t="s">
        <v>39</v>
      </c>
      <c r="I106" s="8" t="n">
        <v>949</v>
      </c>
      <c r="J106" s="8" t="n">
        <v>13</v>
      </c>
      <c r="K106" s="7" t="s">
        <v>47</v>
      </c>
      <c r="L106" s="9" t="n">
        <v>56.5</v>
      </c>
    </row>
    <row r="107" customFormat="false" ht="16.5" hidden="false" customHeight="true" outlineLevel="0" collapsed="false">
      <c r="A107" s="10" t="s">
        <v>201</v>
      </c>
      <c r="B107" s="11" t="s">
        <v>202</v>
      </c>
      <c r="C107" s="10" t="n">
        <v>3</v>
      </c>
      <c r="D107" s="11" t="s">
        <v>16</v>
      </c>
      <c r="E107" s="10" t="s">
        <v>17</v>
      </c>
      <c r="F107" s="12" t="s">
        <v>18</v>
      </c>
      <c r="G107" s="12" t="s">
        <v>19</v>
      </c>
      <c r="H107" s="11" t="s">
        <v>46</v>
      </c>
      <c r="I107" s="13" t="n">
        <v>1025</v>
      </c>
      <c r="J107" s="13" t="n">
        <v>15</v>
      </c>
      <c r="K107" s="12" t="s">
        <v>47</v>
      </c>
      <c r="L107" s="14" t="n">
        <v>64.6</v>
      </c>
    </row>
    <row r="108" customFormat="false" ht="16.5" hidden="false" customHeight="true" outlineLevel="0" collapsed="false">
      <c r="A108" s="5" t="s">
        <v>203</v>
      </c>
      <c r="B108" s="6" t="s">
        <v>204</v>
      </c>
      <c r="C108" s="5" t="n">
        <v>3</v>
      </c>
      <c r="D108" s="6" t="s">
        <v>16</v>
      </c>
      <c r="E108" s="5" t="s">
        <v>17</v>
      </c>
      <c r="F108" s="7" t="s">
        <v>18</v>
      </c>
      <c r="G108" s="7" t="s">
        <v>29</v>
      </c>
      <c r="H108" s="6" t="s">
        <v>32</v>
      </c>
      <c r="I108" s="8" t="n">
        <v>837</v>
      </c>
      <c r="J108" s="8" t="n">
        <v>22</v>
      </c>
      <c r="K108" s="7" t="s">
        <v>24</v>
      </c>
      <c r="L108" s="9" t="n">
        <v>55.9</v>
      </c>
    </row>
    <row r="109" customFormat="false" ht="16.5" hidden="false" customHeight="true" outlineLevel="0" collapsed="false">
      <c r="A109" s="10" t="s">
        <v>205</v>
      </c>
      <c r="B109" s="11" t="s">
        <v>206</v>
      </c>
      <c r="C109" s="10" t="n">
        <v>3</v>
      </c>
      <c r="D109" s="11" t="s">
        <v>23</v>
      </c>
      <c r="E109" s="10" t="s">
        <v>34</v>
      </c>
      <c r="F109" s="12" t="s">
        <v>18</v>
      </c>
      <c r="G109" s="12" t="s">
        <v>19</v>
      </c>
      <c r="H109" s="11" t="s">
        <v>20</v>
      </c>
      <c r="I109" s="13" t="n">
        <v>1085</v>
      </c>
      <c r="J109" s="13" t="n">
        <v>16</v>
      </c>
      <c r="K109" s="12" t="s">
        <v>21</v>
      </c>
      <c r="L109" s="14" t="n">
        <v>53.9</v>
      </c>
    </row>
    <row r="110" customFormat="false" ht="16.5" hidden="false" customHeight="true" outlineLevel="0" collapsed="false">
      <c r="A110" s="5" t="s">
        <v>207</v>
      </c>
      <c r="B110" s="6" t="s">
        <v>208</v>
      </c>
      <c r="C110" s="5" t="n">
        <v>3</v>
      </c>
      <c r="D110" s="6" t="s">
        <v>16</v>
      </c>
      <c r="E110" s="5" t="s">
        <v>37</v>
      </c>
      <c r="F110" s="7" t="s">
        <v>38</v>
      </c>
      <c r="G110" s="7" t="s">
        <v>19</v>
      </c>
      <c r="H110" s="6" t="s">
        <v>46</v>
      </c>
      <c r="I110" s="8" t="n">
        <v>1101</v>
      </c>
      <c r="J110" s="8" t="n">
        <v>37</v>
      </c>
      <c r="K110" s="7" t="s">
        <v>21</v>
      </c>
      <c r="L110" s="9" t="n">
        <v>74.2</v>
      </c>
    </row>
    <row r="111" customFormat="false" ht="16.5" hidden="false" customHeight="true" outlineLevel="0" collapsed="false">
      <c r="A111" s="10" t="s">
        <v>209</v>
      </c>
      <c r="B111" s="11" t="s">
        <v>210</v>
      </c>
      <c r="C111" s="10" t="n">
        <v>3</v>
      </c>
      <c r="D111" s="11" t="s">
        <v>23</v>
      </c>
      <c r="E111" s="10" t="s">
        <v>17</v>
      </c>
      <c r="F111" s="12" t="s">
        <v>18</v>
      </c>
      <c r="G111" s="12" t="s">
        <v>29</v>
      </c>
      <c r="H111" s="11" t="s">
        <v>30</v>
      </c>
      <c r="I111" s="13" t="n">
        <v>908</v>
      </c>
      <c r="J111" s="13" t="n">
        <v>23</v>
      </c>
      <c r="K111" s="12" t="s">
        <v>24</v>
      </c>
      <c r="L111" s="14" t="n">
        <v>59.2</v>
      </c>
    </row>
    <row r="112" customFormat="false" ht="16.5" hidden="false" customHeight="true" outlineLevel="0" collapsed="false">
      <c r="A112" s="5" t="s">
        <v>211</v>
      </c>
      <c r="B112" s="6" t="s">
        <v>212</v>
      </c>
      <c r="C112" s="5" t="n">
        <v>3</v>
      </c>
      <c r="D112" s="6" t="s">
        <v>16</v>
      </c>
      <c r="E112" s="5" t="s">
        <v>17</v>
      </c>
      <c r="F112" s="7" t="s">
        <v>18</v>
      </c>
      <c r="G112" s="7" t="s">
        <v>19</v>
      </c>
      <c r="H112" s="6" t="s">
        <v>46</v>
      </c>
      <c r="I112" s="8" t="n">
        <v>1152</v>
      </c>
      <c r="J112" s="8" t="n">
        <v>21</v>
      </c>
      <c r="K112" s="7" t="s">
        <v>24</v>
      </c>
      <c r="L112" s="9" t="n">
        <v>56.6</v>
      </c>
    </row>
    <row r="113" customFormat="false" ht="16.5" hidden="false" customHeight="true" outlineLevel="0" collapsed="false">
      <c r="A113" s="10" t="s">
        <v>213</v>
      </c>
      <c r="B113" s="11" t="s">
        <v>214</v>
      </c>
      <c r="C113" s="10" t="n">
        <v>3</v>
      </c>
      <c r="D113" s="11" t="s">
        <v>16</v>
      </c>
      <c r="E113" s="10" t="s">
        <v>34</v>
      </c>
      <c r="F113" s="12" t="s">
        <v>18</v>
      </c>
      <c r="G113" s="12" t="s">
        <v>29</v>
      </c>
      <c r="H113" s="11" t="s">
        <v>41</v>
      </c>
      <c r="I113" s="13" t="n">
        <v>1151</v>
      </c>
      <c r="J113" s="13" t="n">
        <v>39</v>
      </c>
      <c r="K113" s="12" t="s">
        <v>21</v>
      </c>
      <c r="L113" s="14" t="n">
        <v>60.3</v>
      </c>
    </row>
    <row r="114" customFormat="false" ht="16.5" hidden="false" customHeight="true" outlineLevel="0" collapsed="false">
      <c r="A114" s="5" t="s">
        <v>215</v>
      </c>
      <c r="B114" s="6" t="s">
        <v>216</v>
      </c>
      <c r="C114" s="5" t="n">
        <v>3</v>
      </c>
      <c r="D114" s="6" t="s">
        <v>27</v>
      </c>
      <c r="E114" s="5" t="s">
        <v>28</v>
      </c>
      <c r="F114" s="7" t="s">
        <v>18</v>
      </c>
      <c r="G114" s="7" t="s">
        <v>19</v>
      </c>
      <c r="H114" s="6" t="s">
        <v>20</v>
      </c>
      <c r="I114" s="8" t="n">
        <v>1131</v>
      </c>
      <c r="J114" s="8" t="n">
        <v>19</v>
      </c>
      <c r="K114" s="7" t="s">
        <v>24</v>
      </c>
      <c r="L114" s="9" t="n">
        <v>59.9</v>
      </c>
    </row>
    <row r="115" customFormat="false" ht="16.5" hidden="false" customHeight="true" outlineLevel="0" collapsed="false">
      <c r="A115" s="10" t="s">
        <v>217</v>
      </c>
      <c r="B115" s="11" t="s">
        <v>216</v>
      </c>
      <c r="C115" s="10" t="n">
        <v>3</v>
      </c>
      <c r="D115" s="11" t="s">
        <v>16</v>
      </c>
      <c r="E115" s="10" t="s">
        <v>17</v>
      </c>
      <c r="F115" s="12" t="s">
        <v>18</v>
      </c>
      <c r="G115" s="12" t="s">
        <v>19</v>
      </c>
      <c r="H115" s="11" t="s">
        <v>39</v>
      </c>
      <c r="I115" s="13" t="n">
        <v>1183</v>
      </c>
      <c r="J115" s="13" t="n">
        <v>32</v>
      </c>
      <c r="K115" s="12" t="s">
        <v>47</v>
      </c>
      <c r="L115" s="14" t="n">
        <v>52</v>
      </c>
    </row>
    <row r="116" customFormat="false" ht="16.5" hidden="false" customHeight="true" outlineLevel="0" collapsed="false">
      <c r="A116" s="5" t="s">
        <v>218</v>
      </c>
      <c r="B116" s="6" t="s">
        <v>219</v>
      </c>
      <c r="C116" s="5" t="n">
        <v>3</v>
      </c>
      <c r="D116" s="6" t="s">
        <v>27</v>
      </c>
      <c r="E116" s="5" t="s">
        <v>37</v>
      </c>
      <c r="F116" s="7" t="s">
        <v>38</v>
      </c>
      <c r="G116" s="7" t="s">
        <v>29</v>
      </c>
      <c r="H116" s="6" t="s">
        <v>32</v>
      </c>
      <c r="I116" s="8" t="n">
        <v>939</v>
      </c>
      <c r="J116" s="8" t="n">
        <v>26</v>
      </c>
      <c r="K116" s="7" t="s">
        <v>24</v>
      </c>
      <c r="L116" s="9" t="n">
        <v>74.9</v>
      </c>
    </row>
    <row r="117" customFormat="false" ht="16.5" hidden="false" customHeight="true" outlineLevel="0" collapsed="false">
      <c r="A117" s="10" t="s">
        <v>220</v>
      </c>
      <c r="B117" s="11" t="s">
        <v>221</v>
      </c>
      <c r="C117" s="10" t="n">
        <v>3</v>
      </c>
      <c r="D117" s="11" t="s">
        <v>27</v>
      </c>
      <c r="E117" s="10" t="s">
        <v>17</v>
      </c>
      <c r="F117" s="12" t="s">
        <v>18</v>
      </c>
      <c r="G117" s="12" t="s">
        <v>29</v>
      </c>
      <c r="H117" s="11" t="s">
        <v>32</v>
      </c>
      <c r="I117" s="13" t="n">
        <v>1109</v>
      </c>
      <c r="J117" s="13" t="n">
        <v>29</v>
      </c>
      <c r="K117" s="12" t="s">
        <v>21</v>
      </c>
      <c r="L117" s="14" t="n">
        <v>59.3</v>
      </c>
    </row>
    <row r="118" customFormat="false" ht="16.5" hidden="false" customHeight="true" outlineLevel="0" collapsed="false">
      <c r="A118" s="5" t="s">
        <v>222</v>
      </c>
      <c r="B118" s="6" t="s">
        <v>221</v>
      </c>
      <c r="C118" s="5" t="n">
        <v>3</v>
      </c>
      <c r="D118" s="6" t="s">
        <v>27</v>
      </c>
      <c r="E118" s="5" t="s">
        <v>17</v>
      </c>
      <c r="F118" s="7" t="s">
        <v>18</v>
      </c>
      <c r="G118" s="7" t="s">
        <v>29</v>
      </c>
      <c r="H118" s="6" t="s">
        <v>32</v>
      </c>
      <c r="I118" s="8" t="n">
        <v>1095</v>
      </c>
      <c r="J118" s="8" t="n">
        <v>37</v>
      </c>
      <c r="K118" s="7" t="s">
        <v>47</v>
      </c>
      <c r="L118" s="9" t="n">
        <v>59.3</v>
      </c>
    </row>
    <row r="119" customFormat="false" ht="16.5" hidden="false" customHeight="true" outlineLevel="0" collapsed="false">
      <c r="A119" s="10" t="s">
        <v>223</v>
      </c>
      <c r="B119" s="11" t="s">
        <v>224</v>
      </c>
      <c r="C119" s="10" t="n">
        <v>3</v>
      </c>
      <c r="D119" s="11" t="s">
        <v>23</v>
      </c>
      <c r="E119" s="10" t="s">
        <v>37</v>
      </c>
      <c r="F119" s="12" t="s">
        <v>38</v>
      </c>
      <c r="G119" s="12" t="s">
        <v>29</v>
      </c>
      <c r="H119" s="11" t="s">
        <v>30</v>
      </c>
      <c r="I119" s="13" t="n">
        <v>1023</v>
      </c>
      <c r="J119" s="13" t="n">
        <v>30</v>
      </c>
      <c r="K119" s="12" t="s">
        <v>24</v>
      </c>
      <c r="L119" s="14" t="n">
        <v>61.9</v>
      </c>
    </row>
    <row r="120" customFormat="false" ht="16.5" hidden="false" customHeight="true" outlineLevel="0" collapsed="false">
      <c r="A120" s="5" t="s">
        <v>225</v>
      </c>
      <c r="B120" s="6" t="s">
        <v>224</v>
      </c>
      <c r="C120" s="5" t="n">
        <v>3</v>
      </c>
      <c r="D120" s="6" t="s">
        <v>16</v>
      </c>
      <c r="E120" s="5" t="s">
        <v>37</v>
      </c>
      <c r="F120" s="7" t="s">
        <v>38</v>
      </c>
      <c r="G120" s="7" t="s">
        <v>19</v>
      </c>
      <c r="H120" s="6" t="s">
        <v>46</v>
      </c>
      <c r="I120" s="8" t="n">
        <v>1143</v>
      </c>
      <c r="J120" s="8" t="n">
        <v>36</v>
      </c>
      <c r="K120" s="7" t="s">
        <v>47</v>
      </c>
      <c r="L120" s="9" t="n">
        <v>80.4</v>
      </c>
    </row>
    <row r="121" customFormat="false" ht="16.5" hidden="false" customHeight="true" outlineLevel="0" collapsed="false">
      <c r="A121" s="10" t="s">
        <v>226</v>
      </c>
      <c r="B121" s="11" t="s">
        <v>224</v>
      </c>
      <c r="C121" s="10" t="n">
        <v>3</v>
      </c>
      <c r="D121" s="11" t="s">
        <v>16</v>
      </c>
      <c r="E121" s="10" t="s">
        <v>37</v>
      </c>
      <c r="F121" s="12" t="s">
        <v>38</v>
      </c>
      <c r="G121" s="12" t="s">
        <v>29</v>
      </c>
      <c r="H121" s="11" t="s">
        <v>41</v>
      </c>
      <c r="I121" s="13" t="n">
        <v>1145</v>
      </c>
      <c r="J121" s="13" t="n">
        <v>28</v>
      </c>
      <c r="K121" s="12" t="s">
        <v>21</v>
      </c>
      <c r="L121" s="14" t="n">
        <v>59.1</v>
      </c>
    </row>
    <row r="122" customFormat="false" ht="16.5" hidden="false" customHeight="true" outlineLevel="0" collapsed="false">
      <c r="A122" s="5" t="s">
        <v>227</v>
      </c>
      <c r="B122" s="6" t="s">
        <v>228</v>
      </c>
      <c r="C122" s="5" t="n">
        <v>3</v>
      </c>
      <c r="D122" s="6" t="s">
        <v>16</v>
      </c>
      <c r="E122" s="5" t="s">
        <v>37</v>
      </c>
      <c r="F122" s="7" t="s">
        <v>38</v>
      </c>
      <c r="G122" s="7" t="s">
        <v>19</v>
      </c>
      <c r="H122" s="6" t="s">
        <v>39</v>
      </c>
      <c r="I122" s="8" t="n">
        <v>818</v>
      </c>
      <c r="J122" s="8" t="n">
        <v>21</v>
      </c>
      <c r="K122" s="7" t="s">
        <v>47</v>
      </c>
      <c r="L122" s="9" t="n">
        <v>78.7</v>
      </c>
    </row>
    <row r="123" customFormat="false" ht="16.5" hidden="false" customHeight="true" outlineLevel="0" collapsed="false">
      <c r="A123" s="10" t="s">
        <v>229</v>
      </c>
      <c r="B123" s="11" t="s">
        <v>228</v>
      </c>
      <c r="C123" s="10" t="n">
        <v>3</v>
      </c>
      <c r="D123" s="11" t="s">
        <v>16</v>
      </c>
      <c r="E123" s="10" t="s">
        <v>17</v>
      </c>
      <c r="F123" s="12" t="s">
        <v>18</v>
      </c>
      <c r="G123" s="12" t="s">
        <v>29</v>
      </c>
      <c r="H123" s="11" t="s">
        <v>30</v>
      </c>
      <c r="I123" s="13" t="n">
        <v>800</v>
      </c>
      <c r="J123" s="13" t="n">
        <v>24</v>
      </c>
      <c r="K123" s="12" t="s">
        <v>47</v>
      </c>
      <c r="L123" s="14" t="n">
        <v>54.9</v>
      </c>
    </row>
    <row r="124" customFormat="false" ht="16.5" hidden="false" customHeight="true" outlineLevel="0" collapsed="false">
      <c r="A124" s="5" t="s">
        <v>230</v>
      </c>
      <c r="B124" s="6" t="s">
        <v>231</v>
      </c>
      <c r="C124" s="5" t="n">
        <v>3</v>
      </c>
      <c r="D124" s="6" t="s">
        <v>27</v>
      </c>
      <c r="E124" s="5" t="s">
        <v>28</v>
      </c>
      <c r="F124" s="7" t="s">
        <v>18</v>
      </c>
      <c r="G124" s="7" t="s">
        <v>19</v>
      </c>
      <c r="H124" s="6" t="s">
        <v>46</v>
      </c>
      <c r="I124" s="8" t="n">
        <v>1120</v>
      </c>
      <c r="J124" s="8" t="n">
        <v>15</v>
      </c>
      <c r="K124" s="7" t="s">
        <v>47</v>
      </c>
      <c r="L124" s="9" t="n">
        <v>58.3</v>
      </c>
    </row>
    <row r="125" customFormat="false" ht="16.5" hidden="false" customHeight="true" outlineLevel="0" collapsed="false">
      <c r="A125" s="10" t="s">
        <v>232</v>
      </c>
      <c r="B125" s="11" t="s">
        <v>233</v>
      </c>
      <c r="C125" s="10" t="n">
        <v>3</v>
      </c>
      <c r="D125" s="11" t="s">
        <v>16</v>
      </c>
      <c r="E125" s="10" t="s">
        <v>28</v>
      </c>
      <c r="F125" s="12" t="s">
        <v>18</v>
      </c>
      <c r="G125" s="12" t="s">
        <v>29</v>
      </c>
      <c r="H125" s="11" t="s">
        <v>30</v>
      </c>
      <c r="I125" s="13" t="n">
        <v>1048</v>
      </c>
      <c r="J125" s="13" t="n">
        <v>45</v>
      </c>
      <c r="K125" s="12" t="s">
        <v>21</v>
      </c>
      <c r="L125" s="14" t="n">
        <v>63.6</v>
      </c>
    </row>
    <row r="126" customFormat="false" ht="16.5" hidden="false" customHeight="true" outlineLevel="0" collapsed="false">
      <c r="A126" s="5" t="s">
        <v>234</v>
      </c>
      <c r="B126" s="6" t="s">
        <v>233</v>
      </c>
      <c r="C126" s="5" t="n">
        <v>3</v>
      </c>
      <c r="D126" s="6" t="s">
        <v>16</v>
      </c>
      <c r="E126" s="5" t="s">
        <v>28</v>
      </c>
      <c r="F126" s="7" t="s">
        <v>18</v>
      </c>
      <c r="G126" s="7" t="s">
        <v>29</v>
      </c>
      <c r="H126" s="6" t="s">
        <v>30</v>
      </c>
      <c r="I126" s="8" t="n">
        <v>807</v>
      </c>
      <c r="J126" s="8" t="n">
        <v>25</v>
      </c>
      <c r="K126" s="7" t="s">
        <v>24</v>
      </c>
      <c r="L126" s="9" t="n">
        <v>57.6</v>
      </c>
    </row>
    <row r="127" customFormat="false" ht="16.5" hidden="false" customHeight="true" outlineLevel="0" collapsed="false">
      <c r="A127" s="10" t="s">
        <v>235</v>
      </c>
      <c r="B127" s="11" t="s">
        <v>236</v>
      </c>
      <c r="C127" s="10" t="n">
        <v>3</v>
      </c>
      <c r="D127" s="11" t="s">
        <v>23</v>
      </c>
      <c r="E127" s="10" t="s">
        <v>17</v>
      </c>
      <c r="F127" s="12" t="s">
        <v>18</v>
      </c>
      <c r="G127" s="12" t="s">
        <v>29</v>
      </c>
      <c r="H127" s="11" t="s">
        <v>32</v>
      </c>
      <c r="I127" s="13" t="n">
        <v>1166</v>
      </c>
      <c r="J127" s="13" t="n">
        <v>28</v>
      </c>
      <c r="K127" s="12" t="s">
        <v>47</v>
      </c>
      <c r="L127" s="14" t="n">
        <v>62.5</v>
      </c>
    </row>
    <row r="128" customFormat="false" ht="16.5" hidden="false" customHeight="true" outlineLevel="0" collapsed="false">
      <c r="A128" s="5" t="s">
        <v>237</v>
      </c>
      <c r="B128" s="6" t="s">
        <v>238</v>
      </c>
      <c r="C128" s="5" t="n">
        <v>3</v>
      </c>
      <c r="D128" s="6" t="s">
        <v>27</v>
      </c>
      <c r="E128" s="5" t="s">
        <v>37</v>
      </c>
      <c r="F128" s="7" t="s">
        <v>38</v>
      </c>
      <c r="G128" s="7" t="s">
        <v>19</v>
      </c>
      <c r="H128" s="6" t="s">
        <v>20</v>
      </c>
      <c r="I128" s="8" t="n">
        <v>996</v>
      </c>
      <c r="J128" s="8" t="n">
        <v>24</v>
      </c>
      <c r="K128" s="7" t="s">
        <v>21</v>
      </c>
      <c r="L128" s="9" t="n">
        <v>93.9</v>
      </c>
    </row>
    <row r="129" customFormat="false" ht="16.5" hidden="false" customHeight="true" outlineLevel="0" collapsed="false">
      <c r="A129" s="10" t="s">
        <v>239</v>
      </c>
      <c r="B129" s="11" t="s">
        <v>240</v>
      </c>
      <c r="C129" s="10" t="n">
        <v>3</v>
      </c>
      <c r="D129" s="11" t="s">
        <v>16</v>
      </c>
      <c r="E129" s="10" t="s">
        <v>17</v>
      </c>
      <c r="F129" s="12" t="s">
        <v>18</v>
      </c>
      <c r="G129" s="12" t="s">
        <v>19</v>
      </c>
      <c r="H129" s="11" t="s">
        <v>46</v>
      </c>
      <c r="I129" s="13" t="n">
        <v>1059</v>
      </c>
      <c r="J129" s="13" t="n">
        <v>23</v>
      </c>
      <c r="K129" s="12" t="s">
        <v>21</v>
      </c>
      <c r="L129" s="14" t="n">
        <v>58.2</v>
      </c>
    </row>
    <row r="130" customFormat="false" ht="16.5" hidden="false" customHeight="true" outlineLevel="0" collapsed="false">
      <c r="A130" s="5" t="s">
        <v>241</v>
      </c>
      <c r="B130" s="6" t="s">
        <v>242</v>
      </c>
      <c r="C130" s="5" t="n">
        <v>3</v>
      </c>
      <c r="D130" s="6" t="s">
        <v>16</v>
      </c>
      <c r="E130" s="5" t="s">
        <v>37</v>
      </c>
      <c r="F130" s="7" t="s">
        <v>38</v>
      </c>
      <c r="G130" s="7" t="s">
        <v>29</v>
      </c>
      <c r="H130" s="6" t="s">
        <v>30</v>
      </c>
      <c r="I130" s="8" t="n">
        <v>1047</v>
      </c>
      <c r="J130" s="8" t="n">
        <v>39</v>
      </c>
      <c r="K130" s="7" t="s">
        <v>21</v>
      </c>
      <c r="L130" s="9" t="n">
        <v>90.7</v>
      </c>
    </row>
    <row r="131" customFormat="false" ht="16.5" hidden="false" customHeight="true" outlineLevel="0" collapsed="false">
      <c r="A131" s="10" t="s">
        <v>243</v>
      </c>
      <c r="B131" s="11" t="s">
        <v>242</v>
      </c>
      <c r="C131" s="10" t="n">
        <v>3</v>
      </c>
      <c r="D131" s="11" t="s">
        <v>27</v>
      </c>
      <c r="E131" s="10" t="s">
        <v>34</v>
      </c>
      <c r="F131" s="12" t="s">
        <v>18</v>
      </c>
      <c r="G131" s="12" t="s">
        <v>19</v>
      </c>
      <c r="H131" s="11" t="s">
        <v>39</v>
      </c>
      <c r="I131" s="13" t="n">
        <v>950</v>
      </c>
      <c r="J131" s="13" t="n">
        <v>8</v>
      </c>
      <c r="K131" s="12" t="s">
        <v>24</v>
      </c>
      <c r="L131" s="14" t="n">
        <v>60</v>
      </c>
    </row>
    <row r="132" customFormat="false" ht="16.5" hidden="false" customHeight="true" outlineLevel="0" collapsed="false">
      <c r="A132" s="5" t="s">
        <v>244</v>
      </c>
      <c r="B132" s="6" t="s">
        <v>245</v>
      </c>
      <c r="C132" s="5" t="n">
        <v>3</v>
      </c>
      <c r="D132" s="6" t="s">
        <v>23</v>
      </c>
      <c r="E132" s="5" t="s">
        <v>37</v>
      </c>
      <c r="F132" s="7" t="s">
        <v>38</v>
      </c>
      <c r="G132" s="7" t="s">
        <v>29</v>
      </c>
      <c r="H132" s="6" t="s">
        <v>30</v>
      </c>
      <c r="I132" s="8" t="n">
        <v>922</v>
      </c>
      <c r="J132" s="8" t="n">
        <v>28</v>
      </c>
      <c r="K132" s="7" t="s">
        <v>47</v>
      </c>
      <c r="L132" s="9" t="n">
        <v>70.2</v>
      </c>
    </row>
    <row r="133" customFormat="false" ht="16.5" hidden="false" customHeight="true" outlineLevel="0" collapsed="false">
      <c r="A133" s="10" t="s">
        <v>246</v>
      </c>
      <c r="B133" s="11" t="s">
        <v>247</v>
      </c>
      <c r="C133" s="10" t="n">
        <v>3</v>
      </c>
      <c r="D133" s="11" t="s">
        <v>27</v>
      </c>
      <c r="E133" s="10" t="s">
        <v>34</v>
      </c>
      <c r="F133" s="12" t="s">
        <v>18</v>
      </c>
      <c r="G133" s="12" t="s">
        <v>29</v>
      </c>
      <c r="H133" s="11" t="s">
        <v>32</v>
      </c>
      <c r="I133" s="13" t="n">
        <v>997</v>
      </c>
      <c r="J133" s="13" t="n">
        <v>34</v>
      </c>
      <c r="K133" s="12" t="s">
        <v>21</v>
      </c>
      <c r="L133" s="14" t="n">
        <v>57.6</v>
      </c>
    </row>
    <row r="134" customFormat="false" ht="16.5" hidden="false" customHeight="true" outlineLevel="0" collapsed="false">
      <c r="A134" s="5" t="s">
        <v>248</v>
      </c>
      <c r="B134" s="6" t="s">
        <v>249</v>
      </c>
      <c r="C134" s="5" t="n">
        <v>3</v>
      </c>
      <c r="D134" s="6" t="s">
        <v>23</v>
      </c>
      <c r="E134" s="5" t="s">
        <v>37</v>
      </c>
      <c r="F134" s="7" t="s">
        <v>38</v>
      </c>
      <c r="G134" s="7" t="s">
        <v>29</v>
      </c>
      <c r="H134" s="6" t="s">
        <v>30</v>
      </c>
      <c r="I134" s="8" t="n">
        <v>1102</v>
      </c>
      <c r="J134" s="8" t="n">
        <v>35</v>
      </c>
      <c r="K134" s="7" t="s">
        <v>47</v>
      </c>
      <c r="L134" s="9" t="n">
        <v>81</v>
      </c>
    </row>
    <row r="135" customFormat="false" ht="16.5" hidden="false" customHeight="true" outlineLevel="0" collapsed="false">
      <c r="A135" s="10" t="s">
        <v>250</v>
      </c>
      <c r="B135" s="11" t="s">
        <v>251</v>
      </c>
      <c r="C135" s="10" t="n">
        <v>3</v>
      </c>
      <c r="D135" s="11" t="s">
        <v>23</v>
      </c>
      <c r="E135" s="10" t="s">
        <v>37</v>
      </c>
      <c r="F135" s="12" t="s">
        <v>38</v>
      </c>
      <c r="G135" s="12" t="s">
        <v>19</v>
      </c>
      <c r="H135" s="11" t="s">
        <v>46</v>
      </c>
      <c r="I135" s="13" t="n">
        <v>1135</v>
      </c>
      <c r="J135" s="13" t="n">
        <v>27</v>
      </c>
      <c r="K135" s="12" t="s">
        <v>47</v>
      </c>
      <c r="L135" s="14" t="n">
        <v>73.9</v>
      </c>
    </row>
    <row r="136" customFormat="false" ht="16.5" hidden="false" customHeight="true" outlineLevel="0" collapsed="false">
      <c r="A136" s="5" t="s">
        <v>252</v>
      </c>
      <c r="B136" s="6" t="s">
        <v>253</v>
      </c>
      <c r="C136" s="5" t="n">
        <v>3</v>
      </c>
      <c r="D136" s="6" t="s">
        <v>16</v>
      </c>
      <c r="E136" s="5" t="s">
        <v>37</v>
      </c>
      <c r="F136" s="7" t="s">
        <v>38</v>
      </c>
      <c r="G136" s="7" t="s">
        <v>29</v>
      </c>
      <c r="H136" s="6" t="s">
        <v>30</v>
      </c>
      <c r="I136" s="8" t="n">
        <v>1073</v>
      </c>
      <c r="J136" s="8" t="n">
        <v>40</v>
      </c>
      <c r="K136" s="7" t="s">
        <v>21</v>
      </c>
      <c r="L136" s="9" t="n">
        <v>84</v>
      </c>
    </row>
    <row r="137" customFormat="false" ht="16.5" hidden="false" customHeight="true" outlineLevel="0" collapsed="false">
      <c r="A137" s="10" t="s">
        <v>254</v>
      </c>
      <c r="B137" s="11" t="s">
        <v>255</v>
      </c>
      <c r="C137" s="10" t="n">
        <v>3</v>
      </c>
      <c r="D137" s="11" t="s">
        <v>23</v>
      </c>
      <c r="E137" s="10" t="s">
        <v>17</v>
      </c>
      <c r="F137" s="12" t="s">
        <v>18</v>
      </c>
      <c r="G137" s="12" t="s">
        <v>29</v>
      </c>
      <c r="H137" s="11" t="s">
        <v>30</v>
      </c>
      <c r="I137" s="13" t="n">
        <v>1150</v>
      </c>
      <c r="J137" s="13" t="n">
        <v>47</v>
      </c>
      <c r="K137" s="12" t="s">
        <v>21</v>
      </c>
      <c r="L137" s="14" t="n">
        <v>53.1</v>
      </c>
    </row>
    <row r="138" customFormat="false" ht="16.5" hidden="false" customHeight="true" outlineLevel="0" collapsed="false">
      <c r="A138" s="5" t="s">
        <v>256</v>
      </c>
      <c r="B138" s="6" t="s">
        <v>257</v>
      </c>
      <c r="C138" s="5" t="n">
        <v>3</v>
      </c>
      <c r="D138" s="6" t="s">
        <v>27</v>
      </c>
      <c r="E138" s="5" t="s">
        <v>37</v>
      </c>
      <c r="F138" s="7" t="s">
        <v>38</v>
      </c>
      <c r="G138" s="7" t="s">
        <v>29</v>
      </c>
      <c r="H138" s="6" t="s">
        <v>30</v>
      </c>
      <c r="I138" s="8" t="n">
        <v>851</v>
      </c>
      <c r="J138" s="8" t="n">
        <v>22</v>
      </c>
      <c r="K138" s="7" t="s">
        <v>24</v>
      </c>
      <c r="L138" s="9" t="n">
        <v>83</v>
      </c>
    </row>
    <row r="139" customFormat="false" ht="16.5" hidden="false" customHeight="true" outlineLevel="0" collapsed="false">
      <c r="A139" s="10" t="s">
        <v>258</v>
      </c>
      <c r="B139" s="11" t="s">
        <v>259</v>
      </c>
      <c r="C139" s="10" t="n">
        <v>3</v>
      </c>
      <c r="D139" s="11" t="s">
        <v>16</v>
      </c>
      <c r="E139" s="10" t="s">
        <v>34</v>
      </c>
      <c r="F139" s="12" t="s">
        <v>18</v>
      </c>
      <c r="G139" s="12" t="s">
        <v>29</v>
      </c>
      <c r="H139" s="11" t="s">
        <v>32</v>
      </c>
      <c r="I139" s="13" t="n">
        <v>991</v>
      </c>
      <c r="J139" s="13" t="n">
        <v>30</v>
      </c>
      <c r="K139" s="12" t="s">
        <v>47</v>
      </c>
      <c r="L139" s="14" t="n">
        <v>58.9</v>
      </c>
    </row>
    <row r="140" customFormat="false" ht="16.5" hidden="false" customHeight="true" outlineLevel="0" collapsed="false">
      <c r="A140" s="5" t="s">
        <v>260</v>
      </c>
      <c r="B140" s="6" t="s">
        <v>259</v>
      </c>
      <c r="C140" s="5" t="n">
        <v>3</v>
      </c>
      <c r="D140" s="6" t="s">
        <v>27</v>
      </c>
      <c r="E140" s="5" t="s">
        <v>17</v>
      </c>
      <c r="F140" s="7" t="s">
        <v>18</v>
      </c>
      <c r="G140" s="7" t="s">
        <v>29</v>
      </c>
      <c r="H140" s="6" t="s">
        <v>30</v>
      </c>
      <c r="I140" s="8" t="n">
        <v>1169</v>
      </c>
      <c r="J140" s="8" t="n">
        <v>33</v>
      </c>
      <c r="K140" s="7" t="s">
        <v>24</v>
      </c>
      <c r="L140" s="9" t="n">
        <v>54</v>
      </c>
    </row>
    <row r="141" customFormat="false" ht="16.5" hidden="false" customHeight="true" outlineLevel="0" collapsed="false">
      <c r="A141" s="10" t="s">
        <v>261</v>
      </c>
      <c r="B141" s="11" t="s">
        <v>262</v>
      </c>
      <c r="C141" s="10" t="n">
        <v>4</v>
      </c>
      <c r="D141" s="11" t="s">
        <v>23</v>
      </c>
      <c r="E141" s="10" t="s">
        <v>28</v>
      </c>
      <c r="F141" s="12" t="s">
        <v>18</v>
      </c>
      <c r="G141" s="12" t="s">
        <v>19</v>
      </c>
      <c r="H141" s="11" t="s">
        <v>39</v>
      </c>
      <c r="I141" s="13" t="n">
        <v>995</v>
      </c>
      <c r="J141" s="13" t="n">
        <v>12</v>
      </c>
      <c r="K141" s="12" t="s">
        <v>21</v>
      </c>
      <c r="L141" s="14" t="n">
        <v>56.5</v>
      </c>
    </row>
    <row r="142" customFormat="false" ht="16.5" hidden="false" customHeight="true" outlineLevel="0" collapsed="false">
      <c r="A142" s="5" t="s">
        <v>263</v>
      </c>
      <c r="B142" s="6" t="s">
        <v>262</v>
      </c>
      <c r="C142" s="5" t="n">
        <v>4</v>
      </c>
      <c r="D142" s="6" t="s">
        <v>27</v>
      </c>
      <c r="E142" s="5" t="s">
        <v>28</v>
      </c>
      <c r="F142" s="7" t="s">
        <v>18</v>
      </c>
      <c r="G142" s="7" t="s">
        <v>19</v>
      </c>
      <c r="H142" s="6" t="s">
        <v>46</v>
      </c>
      <c r="I142" s="8" t="n">
        <v>1035</v>
      </c>
      <c r="J142" s="8" t="n">
        <v>15</v>
      </c>
      <c r="K142" s="7" t="s">
        <v>47</v>
      </c>
      <c r="L142" s="9" t="n">
        <v>58.4</v>
      </c>
    </row>
    <row r="143" customFormat="false" ht="16.5" hidden="false" customHeight="true" outlineLevel="0" collapsed="false">
      <c r="A143" s="10" t="s">
        <v>264</v>
      </c>
      <c r="B143" s="11" t="s">
        <v>265</v>
      </c>
      <c r="C143" s="10" t="n">
        <v>4</v>
      </c>
      <c r="D143" s="11" t="s">
        <v>16</v>
      </c>
      <c r="E143" s="10" t="s">
        <v>28</v>
      </c>
      <c r="F143" s="12" t="s">
        <v>18</v>
      </c>
      <c r="G143" s="12" t="s">
        <v>19</v>
      </c>
      <c r="H143" s="11" t="s">
        <v>39</v>
      </c>
      <c r="I143" s="13" t="n">
        <v>953</v>
      </c>
      <c r="J143" s="13" t="n">
        <v>18</v>
      </c>
      <c r="K143" s="12" t="s">
        <v>47</v>
      </c>
      <c r="L143" s="14" t="n">
        <v>55.6</v>
      </c>
    </row>
    <row r="144" customFormat="false" ht="16.5" hidden="false" customHeight="true" outlineLevel="0" collapsed="false">
      <c r="A144" s="5" t="s">
        <v>266</v>
      </c>
      <c r="B144" s="6" t="s">
        <v>267</v>
      </c>
      <c r="C144" s="5" t="n">
        <v>4</v>
      </c>
      <c r="D144" s="6" t="s">
        <v>16</v>
      </c>
      <c r="E144" s="5" t="s">
        <v>34</v>
      </c>
      <c r="F144" s="7" t="s">
        <v>18</v>
      </c>
      <c r="G144" s="7" t="s">
        <v>19</v>
      </c>
      <c r="H144" s="6" t="s">
        <v>46</v>
      </c>
      <c r="I144" s="8" t="n">
        <v>854</v>
      </c>
      <c r="J144" s="8" t="n">
        <v>19</v>
      </c>
      <c r="K144" s="7" t="s">
        <v>21</v>
      </c>
      <c r="L144" s="9" t="n">
        <v>61.9</v>
      </c>
    </row>
    <row r="145" customFormat="false" ht="16.5" hidden="false" customHeight="true" outlineLevel="0" collapsed="false">
      <c r="A145" s="10" t="s">
        <v>268</v>
      </c>
      <c r="B145" s="11" t="s">
        <v>269</v>
      </c>
      <c r="C145" s="10" t="n">
        <v>4</v>
      </c>
      <c r="D145" s="11" t="s">
        <v>27</v>
      </c>
      <c r="E145" s="10" t="s">
        <v>34</v>
      </c>
      <c r="F145" s="12" t="s">
        <v>18</v>
      </c>
      <c r="G145" s="12" t="s">
        <v>19</v>
      </c>
      <c r="H145" s="11" t="s">
        <v>46</v>
      </c>
      <c r="I145" s="13" t="n">
        <v>940</v>
      </c>
      <c r="J145" s="13" t="n">
        <v>23</v>
      </c>
      <c r="K145" s="12" t="s">
        <v>21</v>
      </c>
      <c r="L145" s="14" t="n">
        <v>58.3</v>
      </c>
    </row>
    <row r="146" customFormat="false" ht="16.5" hidden="false" customHeight="true" outlineLevel="0" collapsed="false">
      <c r="A146" s="5" t="s">
        <v>270</v>
      </c>
      <c r="B146" s="6" t="s">
        <v>271</v>
      </c>
      <c r="C146" s="5" t="n">
        <v>4</v>
      </c>
      <c r="D146" s="6" t="s">
        <v>16</v>
      </c>
      <c r="E146" s="5" t="s">
        <v>37</v>
      </c>
      <c r="F146" s="7" t="s">
        <v>38</v>
      </c>
      <c r="G146" s="7" t="s">
        <v>29</v>
      </c>
      <c r="H146" s="6" t="s">
        <v>41</v>
      </c>
      <c r="I146" s="8" t="n">
        <v>1110</v>
      </c>
      <c r="J146" s="8" t="n">
        <v>47</v>
      </c>
      <c r="K146" s="7" t="s">
        <v>24</v>
      </c>
      <c r="L146" s="9" t="n">
        <v>65</v>
      </c>
    </row>
    <row r="147" customFormat="false" ht="16.5" hidden="false" customHeight="true" outlineLevel="0" collapsed="false">
      <c r="A147" s="10" t="s">
        <v>272</v>
      </c>
      <c r="B147" s="11" t="s">
        <v>271</v>
      </c>
      <c r="C147" s="10" t="n">
        <v>4</v>
      </c>
      <c r="D147" s="11" t="s">
        <v>27</v>
      </c>
      <c r="E147" s="10" t="s">
        <v>37</v>
      </c>
      <c r="F147" s="12" t="s">
        <v>38</v>
      </c>
      <c r="G147" s="12" t="s">
        <v>19</v>
      </c>
      <c r="H147" s="11" t="s">
        <v>20</v>
      </c>
      <c r="I147" s="13" t="n">
        <v>1043</v>
      </c>
      <c r="J147" s="13" t="n">
        <v>10</v>
      </c>
      <c r="K147" s="12" t="s">
        <v>21</v>
      </c>
      <c r="L147" s="14" t="n">
        <v>59.5</v>
      </c>
    </row>
    <row r="148" customFormat="false" ht="16.5" hidden="false" customHeight="true" outlineLevel="0" collapsed="false">
      <c r="A148" s="5" t="s">
        <v>273</v>
      </c>
      <c r="B148" s="6" t="s">
        <v>274</v>
      </c>
      <c r="C148" s="5" t="n">
        <v>4</v>
      </c>
      <c r="D148" s="6" t="s">
        <v>27</v>
      </c>
      <c r="E148" s="5" t="s">
        <v>34</v>
      </c>
      <c r="F148" s="7" t="s">
        <v>18</v>
      </c>
      <c r="G148" s="7" t="s">
        <v>29</v>
      </c>
      <c r="H148" s="6" t="s">
        <v>30</v>
      </c>
      <c r="I148" s="8" t="n">
        <v>1148</v>
      </c>
      <c r="J148" s="8" t="n">
        <v>34</v>
      </c>
      <c r="K148" s="7" t="s">
        <v>21</v>
      </c>
      <c r="L148" s="9" t="n">
        <v>54.4</v>
      </c>
    </row>
    <row r="149" customFormat="false" ht="16.5" hidden="false" customHeight="true" outlineLevel="0" collapsed="false">
      <c r="A149" s="10" t="s">
        <v>275</v>
      </c>
      <c r="B149" s="11" t="s">
        <v>274</v>
      </c>
      <c r="C149" s="10" t="n">
        <v>4</v>
      </c>
      <c r="D149" s="11" t="s">
        <v>16</v>
      </c>
      <c r="E149" s="10" t="s">
        <v>17</v>
      </c>
      <c r="F149" s="12" t="s">
        <v>18</v>
      </c>
      <c r="G149" s="12" t="s">
        <v>19</v>
      </c>
      <c r="H149" s="11" t="s">
        <v>20</v>
      </c>
      <c r="I149" s="13" t="n">
        <v>1096</v>
      </c>
      <c r="J149" s="13" t="n">
        <v>22</v>
      </c>
      <c r="K149" s="12" t="s">
        <v>47</v>
      </c>
      <c r="L149" s="14" t="n">
        <v>59.2</v>
      </c>
    </row>
    <row r="150" customFormat="false" ht="16.5" hidden="false" customHeight="true" outlineLevel="0" collapsed="false">
      <c r="A150" s="5" t="s">
        <v>276</v>
      </c>
      <c r="B150" s="6" t="s">
        <v>277</v>
      </c>
      <c r="C150" s="5" t="n">
        <v>4</v>
      </c>
      <c r="D150" s="6" t="s">
        <v>23</v>
      </c>
      <c r="E150" s="5" t="s">
        <v>37</v>
      </c>
      <c r="F150" s="7" t="s">
        <v>38</v>
      </c>
      <c r="G150" s="7" t="s">
        <v>19</v>
      </c>
      <c r="H150" s="6" t="s">
        <v>39</v>
      </c>
      <c r="I150" s="8" t="n">
        <v>987</v>
      </c>
      <c r="J150" s="8" t="n">
        <v>11</v>
      </c>
      <c r="K150" s="7" t="s">
        <v>24</v>
      </c>
      <c r="L150" s="9" t="n">
        <v>68.6</v>
      </c>
    </row>
    <row r="151" customFormat="false" ht="16.5" hidden="false" customHeight="true" outlineLevel="0" collapsed="false">
      <c r="A151" s="10" t="s">
        <v>278</v>
      </c>
      <c r="B151" s="11" t="s">
        <v>279</v>
      </c>
      <c r="C151" s="10" t="n">
        <v>4</v>
      </c>
      <c r="D151" s="11" t="s">
        <v>16</v>
      </c>
      <c r="E151" s="10" t="s">
        <v>37</v>
      </c>
      <c r="F151" s="12" t="s">
        <v>38</v>
      </c>
      <c r="G151" s="12" t="s">
        <v>29</v>
      </c>
      <c r="H151" s="11" t="s">
        <v>30</v>
      </c>
      <c r="I151" s="13" t="n">
        <v>973</v>
      </c>
      <c r="J151" s="13" t="n">
        <v>41</v>
      </c>
      <c r="K151" s="12" t="s">
        <v>24</v>
      </c>
      <c r="L151" s="14" t="n">
        <v>59.1</v>
      </c>
    </row>
    <row r="152" customFormat="false" ht="16.5" hidden="false" customHeight="true" outlineLevel="0" collapsed="false">
      <c r="A152" s="5" t="s">
        <v>280</v>
      </c>
      <c r="B152" s="6" t="s">
        <v>281</v>
      </c>
      <c r="C152" s="5" t="n">
        <v>4</v>
      </c>
      <c r="D152" s="6" t="s">
        <v>27</v>
      </c>
      <c r="E152" s="5" t="s">
        <v>28</v>
      </c>
      <c r="F152" s="7" t="s">
        <v>18</v>
      </c>
      <c r="G152" s="7" t="s">
        <v>29</v>
      </c>
      <c r="H152" s="6" t="s">
        <v>30</v>
      </c>
      <c r="I152" s="8" t="n">
        <v>1003</v>
      </c>
      <c r="J152" s="8" t="n">
        <v>35</v>
      </c>
      <c r="K152" s="7" t="s">
        <v>47</v>
      </c>
      <c r="L152" s="9" t="n">
        <v>56.9</v>
      </c>
    </row>
    <row r="153" customFormat="false" ht="16.5" hidden="false" customHeight="true" outlineLevel="0" collapsed="false">
      <c r="A153" s="10" t="s">
        <v>282</v>
      </c>
      <c r="B153" s="11" t="s">
        <v>283</v>
      </c>
      <c r="C153" s="10" t="n">
        <v>4</v>
      </c>
      <c r="D153" s="11" t="s">
        <v>27</v>
      </c>
      <c r="E153" s="10" t="s">
        <v>37</v>
      </c>
      <c r="F153" s="12" t="s">
        <v>38</v>
      </c>
      <c r="G153" s="12" t="s">
        <v>19</v>
      </c>
      <c r="H153" s="11" t="s">
        <v>20</v>
      </c>
      <c r="I153" s="13" t="n">
        <v>1032</v>
      </c>
      <c r="J153" s="13" t="n">
        <v>17</v>
      </c>
      <c r="K153" s="12" t="s">
        <v>47</v>
      </c>
      <c r="L153" s="14" t="n">
        <v>93.3</v>
      </c>
    </row>
  </sheetData>
  <mergeCells count="2">
    <mergeCell ref="A1:L1"/>
    <mergeCell ref="A2:L2"/>
  </mergeCells>
  <conditionalFormatting sqref="J4:J153">
    <cfRule type="dataBar" priority="2">
      <dataBar showValue="1" minLength="10" maxLength="90">
        <cfvo type="min" val="0"/>
        <cfvo type="max" val="0"/>
        <color rgb="FFED7D31"/>
      </dataBar>
      <extLst>
        <ext xmlns:x14="http://schemas.microsoft.com/office/spreadsheetml/2009/9/main" uri="{B025F937-C7B1-47D3-B67F-A62EFF666E3E}">
          <x14:id>{C94F4C5C-7138-4F8D-B835-16635074CA8D}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F4C5C-7138-4F8D-B835-16635074CA8D}">
            <x14:dataBar minLength="10" maxLength="90" axisPosition="none" gradient="true">
              <x14:cfvo type="min"/>
              <x14:cfvo type="max"/>
              <x14:negativeFillColor rgb="FFED7D31"/>
              <x14:axisColor rgb="FF000000"/>
            </x14:dataBar>
          </x14:cfRule>
          <xm:sqref>J4:J153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</cols>
  <sheetData>
    <row r="1" customFormat="false" ht="30" hidden="false" customHeight="true" outlineLevel="0" collapsed="false">
      <c r="B1" s="15" t="s">
        <v>284</v>
      </c>
      <c r="C1" s="15"/>
      <c r="D1" s="15"/>
      <c r="E1" s="15"/>
      <c r="F1" s="15"/>
      <c r="G1" s="15"/>
      <c r="H1" s="15"/>
    </row>
    <row r="2" customFormat="false" ht="15.75" hidden="false" customHeight="true" outlineLevel="0" collapsed="false">
      <c r="B2" s="16" t="s">
        <v>285</v>
      </c>
      <c r="C2" s="16"/>
      <c r="D2" s="16"/>
      <c r="E2" s="16"/>
      <c r="F2" s="16"/>
      <c r="G2" s="16"/>
      <c r="H2" s="16"/>
    </row>
    <row r="3" customFormat="false" ht="9.75" hidden="false" customHeight="true" outlineLevel="0" collapsed="false"/>
    <row r="4" customFormat="false" ht="21.75" hidden="false" customHeight="true" outlineLevel="0" collapsed="false">
      <c r="B4" s="17" t="s">
        <v>286</v>
      </c>
      <c r="C4" s="17"/>
      <c r="D4" s="17"/>
      <c r="E4" s="17"/>
      <c r="F4" s="17"/>
      <c r="G4" s="17"/>
      <c r="H4" s="17"/>
    </row>
    <row r="5" customFormat="false" ht="19.5" hidden="false" customHeight="true" outlineLevel="0" collapsed="false">
      <c r="B5" s="18" t="s">
        <v>287</v>
      </c>
      <c r="C5" s="18"/>
      <c r="D5" s="18"/>
      <c r="E5" s="18"/>
      <c r="F5" s="18"/>
      <c r="G5" s="18"/>
      <c r="H5" s="18"/>
    </row>
    <row r="6" customFormat="false" ht="19.5" hidden="false" customHeight="true" outlineLevel="0" collapsed="false">
      <c r="B6" s="19" t="s">
        <v>288</v>
      </c>
      <c r="C6" s="19"/>
      <c r="D6" s="19"/>
      <c r="E6" s="19"/>
      <c r="F6" s="19"/>
      <c r="G6" s="19"/>
      <c r="H6" s="19"/>
    </row>
    <row r="7" customFormat="false" ht="19.5" hidden="false" customHeight="true" outlineLevel="0" collapsed="false">
      <c r="B7" s="18" t="s">
        <v>289</v>
      </c>
      <c r="C7" s="18"/>
      <c r="D7" s="18"/>
      <c r="E7" s="18"/>
      <c r="F7" s="18"/>
      <c r="G7" s="18"/>
      <c r="H7" s="18"/>
    </row>
    <row r="8" customFormat="false" ht="19.5" hidden="false" customHeight="true" outlineLevel="0" collapsed="false">
      <c r="B8" s="18" t="s">
        <v>290</v>
      </c>
      <c r="C8" s="18"/>
      <c r="D8" s="18"/>
      <c r="E8" s="18"/>
      <c r="F8" s="18"/>
      <c r="G8" s="18"/>
      <c r="H8" s="18"/>
    </row>
    <row r="9" customFormat="false" ht="19.5" hidden="false" customHeight="true" outlineLevel="0" collapsed="false">
      <c r="B9" s="20" t="s">
        <v>291</v>
      </c>
      <c r="C9" s="20"/>
      <c r="D9" s="20"/>
      <c r="E9" s="20"/>
      <c r="F9" s="20"/>
      <c r="G9" s="20"/>
      <c r="H9" s="20"/>
    </row>
    <row r="10" customFormat="false" ht="9.75" hidden="false" customHeight="true" outlineLevel="0" collapsed="false"/>
    <row r="11" customFormat="false" ht="21.75" hidden="false" customHeight="true" outlineLevel="0" collapsed="false">
      <c r="B11" s="17" t="s">
        <v>292</v>
      </c>
      <c r="C11" s="17"/>
      <c r="D11" s="17"/>
      <c r="E11" s="17"/>
      <c r="F11" s="17"/>
      <c r="G11" s="17"/>
      <c r="H11" s="17"/>
    </row>
    <row r="12" customFormat="false" ht="19.5" hidden="false" customHeight="true" outlineLevel="0" collapsed="false">
      <c r="B12" s="18" t="s">
        <v>293</v>
      </c>
      <c r="C12" s="18"/>
      <c r="D12" s="18"/>
      <c r="E12" s="18"/>
      <c r="F12" s="18"/>
      <c r="G12" s="18"/>
      <c r="H12" s="18"/>
    </row>
    <row r="13" customFormat="false" ht="19.5" hidden="false" customHeight="true" outlineLevel="0" collapsed="false">
      <c r="B13" s="19" t="s">
        <v>294</v>
      </c>
      <c r="C13" s="19"/>
      <c r="D13" s="19"/>
      <c r="E13" s="19"/>
      <c r="F13" s="19"/>
      <c r="G13" s="19"/>
      <c r="H13" s="19"/>
    </row>
    <row r="14" customFormat="false" ht="19.5" hidden="false" customHeight="true" outlineLevel="0" collapsed="false">
      <c r="B14" s="18" t="s">
        <v>295</v>
      </c>
      <c r="C14" s="18"/>
      <c r="D14" s="18"/>
      <c r="E14" s="18"/>
      <c r="F14" s="18"/>
      <c r="G14" s="18"/>
      <c r="H14" s="18"/>
    </row>
    <row r="15" customFormat="false" ht="19.5" hidden="false" customHeight="true" outlineLevel="0" collapsed="false">
      <c r="B15" s="20" t="s">
        <v>296</v>
      </c>
      <c r="C15" s="20"/>
      <c r="D15" s="20"/>
      <c r="E15" s="20"/>
      <c r="F15" s="20"/>
      <c r="G15" s="20"/>
      <c r="H15" s="20"/>
    </row>
    <row r="16" customFormat="false" ht="9.75" hidden="false" customHeight="true" outlineLevel="0" collapsed="false"/>
    <row r="17" customFormat="false" ht="21.75" hidden="false" customHeight="true" outlineLevel="0" collapsed="false">
      <c r="B17" s="17" t="s">
        <v>297</v>
      </c>
      <c r="C17" s="17"/>
      <c r="D17" s="17"/>
      <c r="E17" s="17"/>
      <c r="F17" s="17"/>
      <c r="G17" s="17"/>
      <c r="H17" s="17"/>
    </row>
    <row r="18" customFormat="false" ht="19.5" hidden="false" customHeight="true" outlineLevel="0" collapsed="false">
      <c r="B18" s="18" t="s">
        <v>298</v>
      </c>
      <c r="C18" s="18"/>
      <c r="D18" s="18"/>
      <c r="E18" s="18"/>
      <c r="F18" s="18"/>
      <c r="G18" s="18"/>
      <c r="H18" s="18"/>
    </row>
    <row r="19" customFormat="false" ht="19.5" hidden="false" customHeight="true" outlineLevel="0" collapsed="false">
      <c r="B19" s="19" t="s">
        <v>299</v>
      </c>
      <c r="C19" s="19"/>
      <c r="D19" s="19"/>
      <c r="E19" s="19"/>
      <c r="F19" s="19"/>
      <c r="G19" s="19"/>
      <c r="H19" s="19"/>
    </row>
    <row r="20" customFormat="false" ht="19.5" hidden="false" customHeight="true" outlineLevel="0" collapsed="false">
      <c r="B20" s="19" t="s">
        <v>300</v>
      </c>
      <c r="C20" s="19"/>
      <c r="D20" s="19"/>
      <c r="E20" s="19"/>
      <c r="F20" s="19"/>
      <c r="G20" s="19"/>
      <c r="H20" s="19"/>
    </row>
    <row r="21" customFormat="false" ht="19.5" hidden="false" customHeight="true" outlineLevel="0" collapsed="false">
      <c r="B21" s="20" t="s">
        <v>301</v>
      </c>
      <c r="C21" s="20"/>
      <c r="D21" s="20"/>
      <c r="E21" s="20"/>
      <c r="F21" s="20"/>
      <c r="G21" s="20"/>
      <c r="H21" s="20"/>
    </row>
    <row r="22" customFormat="false" ht="9.75" hidden="false" customHeight="true" outlineLevel="0" collapsed="false"/>
    <row r="23" customFormat="false" ht="21.75" hidden="false" customHeight="true" outlineLevel="0" collapsed="false">
      <c r="B23" s="17" t="s">
        <v>302</v>
      </c>
      <c r="C23" s="17"/>
      <c r="D23" s="17"/>
      <c r="E23" s="17"/>
      <c r="F23" s="17"/>
      <c r="G23" s="17"/>
      <c r="H23" s="17"/>
    </row>
    <row r="24" customFormat="false" ht="19.5" hidden="false" customHeight="true" outlineLevel="0" collapsed="false">
      <c r="B24" s="18" t="s">
        <v>303</v>
      </c>
      <c r="C24" s="18"/>
      <c r="D24" s="18"/>
      <c r="E24" s="18"/>
      <c r="F24" s="18"/>
      <c r="G24" s="18"/>
      <c r="H24" s="18"/>
    </row>
    <row r="25" customFormat="false" ht="19.5" hidden="false" customHeight="true" outlineLevel="0" collapsed="false">
      <c r="B25" s="19" t="s">
        <v>304</v>
      </c>
      <c r="C25" s="19"/>
      <c r="D25" s="19"/>
      <c r="E25" s="19"/>
      <c r="F25" s="19"/>
      <c r="G25" s="19"/>
      <c r="H25" s="19"/>
    </row>
    <row r="26" customFormat="false" ht="19.5" hidden="false" customHeight="true" outlineLevel="0" collapsed="false">
      <c r="B26" s="19" t="s">
        <v>305</v>
      </c>
      <c r="C26" s="19"/>
      <c r="D26" s="19"/>
      <c r="E26" s="19"/>
      <c r="F26" s="19"/>
      <c r="G26" s="19"/>
      <c r="H26" s="19"/>
    </row>
    <row r="27" customFormat="false" ht="19.5" hidden="false" customHeight="true" outlineLevel="0" collapsed="false">
      <c r="B27" s="20" t="s">
        <v>306</v>
      </c>
      <c r="C27" s="20"/>
      <c r="D27" s="20"/>
      <c r="E27" s="20"/>
      <c r="F27" s="20"/>
      <c r="G27" s="20"/>
      <c r="H27" s="20"/>
    </row>
    <row r="28" customFormat="false" ht="9.75" hidden="false" customHeight="true" outlineLevel="0" collapsed="false"/>
    <row r="29" customFormat="false" ht="21.75" hidden="false" customHeight="true" outlineLevel="0" collapsed="false">
      <c r="B29" s="17" t="s">
        <v>307</v>
      </c>
      <c r="C29" s="17"/>
      <c r="D29" s="17"/>
      <c r="E29" s="17"/>
      <c r="F29" s="17"/>
      <c r="G29" s="17"/>
      <c r="H29" s="17"/>
    </row>
    <row r="30" customFormat="false" ht="19.5" hidden="false" customHeight="true" outlineLevel="0" collapsed="false">
      <c r="B30" s="19" t="s">
        <v>308</v>
      </c>
      <c r="C30" s="19"/>
      <c r="D30" s="19"/>
      <c r="E30" s="19"/>
      <c r="F30" s="19"/>
      <c r="G30" s="19"/>
      <c r="H30" s="19"/>
    </row>
    <row r="31" customFormat="false" ht="19.5" hidden="false" customHeight="true" outlineLevel="0" collapsed="false">
      <c r="B31" s="18" t="s">
        <v>309</v>
      </c>
      <c r="C31" s="18"/>
      <c r="D31" s="18"/>
      <c r="E31" s="18"/>
      <c r="F31" s="18"/>
      <c r="G31" s="18"/>
      <c r="H31" s="18"/>
    </row>
    <row r="32" customFormat="false" ht="19.5" hidden="false" customHeight="true" outlineLevel="0" collapsed="false">
      <c r="B32" s="19" t="s">
        <v>310</v>
      </c>
      <c r="C32" s="19"/>
      <c r="D32" s="19"/>
      <c r="E32" s="19"/>
      <c r="F32" s="19"/>
      <c r="G32" s="19"/>
      <c r="H32" s="19"/>
    </row>
    <row r="33" customFormat="false" ht="19.5" hidden="false" customHeight="true" outlineLevel="0" collapsed="false">
      <c r="B33" s="18" t="s">
        <v>309</v>
      </c>
      <c r="C33" s="18"/>
      <c r="D33" s="18"/>
      <c r="E33" s="18"/>
      <c r="F33" s="18"/>
      <c r="G33" s="18"/>
      <c r="H33" s="18"/>
    </row>
    <row r="34" customFormat="false" ht="19.5" hidden="false" customHeight="true" outlineLevel="0" collapsed="false">
      <c r="B34" s="20" t="s">
        <v>311</v>
      </c>
      <c r="C34" s="20"/>
      <c r="D34" s="20"/>
      <c r="E34" s="20"/>
      <c r="F34" s="20"/>
      <c r="G34" s="20"/>
      <c r="H34" s="20"/>
    </row>
  </sheetData>
  <mergeCells count="29">
    <mergeCell ref="B1:H1"/>
    <mergeCell ref="B2:H2"/>
    <mergeCell ref="B4:H4"/>
    <mergeCell ref="B5:H5"/>
    <mergeCell ref="B6:H6"/>
    <mergeCell ref="B7:H7"/>
    <mergeCell ref="B8:H8"/>
    <mergeCell ref="B9:H9"/>
    <mergeCell ref="B11:H11"/>
    <mergeCell ref="B12:H12"/>
    <mergeCell ref="B13:H13"/>
    <mergeCell ref="B14:H14"/>
    <mergeCell ref="B15:H15"/>
    <mergeCell ref="B17:H17"/>
    <mergeCell ref="B18:H18"/>
    <mergeCell ref="B19:H19"/>
    <mergeCell ref="B20:H20"/>
    <mergeCell ref="B21:H21"/>
    <mergeCell ref="B23:H23"/>
    <mergeCell ref="B24:H24"/>
    <mergeCell ref="B25:H25"/>
    <mergeCell ref="B26:H26"/>
    <mergeCell ref="B27:H27"/>
    <mergeCell ref="B29:H29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21" t="s">
        <v>312</v>
      </c>
      <c r="B1" s="21"/>
      <c r="C1" s="21"/>
      <c r="D1" s="21"/>
      <c r="E1" s="21"/>
      <c r="F1" s="21"/>
    </row>
    <row r="2" customFormat="false" ht="19.5" hidden="false" customHeight="true" outlineLevel="0" collapsed="false">
      <c r="A2" s="22" t="s">
        <v>6</v>
      </c>
      <c r="B2" s="22" t="s">
        <v>313</v>
      </c>
      <c r="C2" s="22" t="s">
        <v>314</v>
      </c>
      <c r="D2" s="22" t="s">
        <v>315</v>
      </c>
      <c r="E2" s="22" t="s">
        <v>316</v>
      </c>
      <c r="F2" s="22" t="s">
        <v>317</v>
      </c>
    </row>
    <row r="3" customFormat="false" ht="15" hidden="false" customHeight="false" outlineLevel="0" collapsed="false">
      <c r="A3" s="10" t="s">
        <v>17</v>
      </c>
      <c r="B3" s="13" t="n">
        <f aca="false">SUMIF('① 원본데이터'!E:E,A3,'① 원본데이터'!I:I)</f>
        <v>39043</v>
      </c>
      <c r="C3" s="13" t="n">
        <f aca="false">SUMIF('① 원본데이터'!E:E,A3,'① 원본데이터'!J:J)</f>
        <v>1047</v>
      </c>
      <c r="D3" s="23" t="n">
        <f aca="false">IFERROR(C3/B3*100,0)</f>
        <v>2.68165868401506</v>
      </c>
      <c r="E3" s="24" t="n">
        <f aca="false">AVERAGEIF('① 원본데이터'!E:E,A3,'① 원본데이터'!L:L)</f>
        <v>58.1051282051282</v>
      </c>
      <c r="F3" s="10" t="str">
        <f aca="false">IFERROR(INDEX('① 원본데이터'!K:K,MATCH(MAX(COUNTIF('① 원본데이터'!K$4:K$163,'① 원본데이터'!K$4:K$163)),COUNTIF('① 원본데이터'!K$4:K$163,'① 원본데이터'!K$4:K$163),0)),"-")</f>
        <v>-</v>
      </c>
    </row>
    <row r="4" customFormat="false" ht="15" hidden="false" customHeight="false" outlineLevel="0" collapsed="false">
      <c r="A4" s="5" t="s">
        <v>28</v>
      </c>
      <c r="B4" s="8" t="n">
        <f aca="false">SUMIF('① 원본데이터'!E:E,A4,'① 원본데이터'!I:I)</f>
        <v>36584</v>
      </c>
      <c r="C4" s="8" t="n">
        <f aca="false">SUMIF('① 원본데이터'!E:E,A4,'① 원본데이터'!J:J)</f>
        <v>941</v>
      </c>
      <c r="D4" s="25" t="n">
        <f aca="false">IFERROR(C4/B4*100,0)</f>
        <v>2.57216269407391</v>
      </c>
      <c r="E4" s="26" t="n">
        <f aca="false">AVERAGEIF('① 원본데이터'!E:E,A4,'① 원본데이터'!L:L)</f>
        <v>59.2081081081081</v>
      </c>
      <c r="F4" s="5" t="n">
        <f aca="false">IFERROR(INDEX('① 원본데이터'!K:K,MATCH(MAX(COUNTIF('① 원본데이터'!K$4:K$163,'① 원본데이터'!K$4:K$163)),COUNTIF('① 원본데이터'!K$4:K$163,'① 원본데이터'!K$4:K$163),0)),"-")</f>
        <v>0</v>
      </c>
    </row>
    <row r="5" customFormat="false" ht="15" hidden="false" customHeight="false" outlineLevel="0" collapsed="false">
      <c r="A5" s="10" t="s">
        <v>34</v>
      </c>
      <c r="B5" s="13" t="n">
        <f aca="false">SUMIF('① 원본데이터'!E:E,A5,'① 원본데이터'!I:I)</f>
        <v>31881</v>
      </c>
      <c r="C5" s="13" t="n">
        <f aca="false">SUMIF('① 원본데이터'!E:E,A5,'① 원본데이터'!J:J)</f>
        <v>793</v>
      </c>
      <c r="D5" s="23" t="n">
        <f aca="false">IFERROR(C5/B5*100,0)</f>
        <v>2.48737492550422</v>
      </c>
      <c r="E5" s="24" t="n">
        <f aca="false">AVERAGEIF('① 원본데이터'!E:E,A5,'① 원본데이터'!L:L)</f>
        <v>59.20625</v>
      </c>
      <c r="F5" s="10" t="n">
        <f aca="false">IFERROR(INDEX('① 원본데이터'!K:K,MATCH(MAX(COUNTIF('① 원본데이터'!K$4:K$163,'① 원본데이터'!K$4:K$163)),COUNTIF('① 원본데이터'!K$4:K$163,'① 원본데이터'!K$4:K$163),0)),"-")</f>
        <v>0</v>
      </c>
    </row>
    <row r="6" customFormat="false" ht="15" hidden="false" customHeight="false" outlineLevel="0" collapsed="false">
      <c r="A6" s="5" t="s">
        <v>37</v>
      </c>
      <c r="B6" s="8" t="n">
        <f aca="false">SUMIF('① 원본데이터'!E:E,A6,'① 원본데이터'!I:I)</f>
        <v>41702</v>
      </c>
      <c r="C6" s="8" t="n">
        <f aca="false">SUMIF('① 원본데이터'!E:E,A6,'① 원본데이터'!J:J)</f>
        <v>1322</v>
      </c>
      <c r="D6" s="25" t="n">
        <f aca="false">IFERROR(C6/B6*100,0)</f>
        <v>3.17011174524004</v>
      </c>
      <c r="E6" s="26" t="n">
        <f aca="false">AVERAGEIF('① 원본데이터'!E:E,A6,'① 원본데이터'!L:L)</f>
        <v>70.95</v>
      </c>
      <c r="F6" s="5" t="n">
        <f aca="false">IFERROR(INDEX('① 원본데이터'!K:K,MATCH(MAX(COUNTIF('① 원본데이터'!K$4:K$163,'① 원본데이터'!K$4:K$163)),COUNTIF('① 원본데이터'!K$4:K$163,'① 원본데이터'!K$4:K$163),0)),"-")</f>
        <v>0</v>
      </c>
    </row>
    <row r="7" customFormat="false" ht="15" hidden="false" customHeight="false" outlineLevel="0" collapsed="false">
      <c r="A7" s="27" t="s">
        <v>318</v>
      </c>
      <c r="B7" s="28" t="n">
        <f aca="false">SUM(B3:B6)</f>
        <v>149210</v>
      </c>
      <c r="C7" s="28" t="n">
        <f aca="false">SUM(C3:C6)</f>
        <v>4103</v>
      </c>
      <c r="D7" s="29" t="n">
        <f aca="false">IFERROR(C7/B7*100,0)</f>
        <v>2.74981569599893</v>
      </c>
      <c r="E7" s="30"/>
      <c r="F7" s="30"/>
    </row>
    <row r="10" customFormat="false" ht="21.75" hidden="false" customHeight="true" outlineLevel="0" collapsed="false">
      <c r="A10" s="21" t="s">
        <v>319</v>
      </c>
      <c r="B10" s="21"/>
      <c r="C10" s="21"/>
      <c r="D10" s="21"/>
    </row>
    <row r="11" customFormat="false" ht="19.5" hidden="false" customHeight="true" outlineLevel="0" collapsed="false">
      <c r="A11" s="22" t="s">
        <v>8</v>
      </c>
      <c r="B11" s="22" t="s">
        <v>313</v>
      </c>
      <c r="C11" s="22" t="s">
        <v>314</v>
      </c>
      <c r="D11" s="22" t="s">
        <v>315</v>
      </c>
    </row>
    <row r="12" customFormat="false" ht="15" hidden="false" customHeight="false" outlineLevel="0" collapsed="false">
      <c r="A12" s="7" t="s">
        <v>19</v>
      </c>
      <c r="B12" s="8" t="n">
        <f aca="false">SUMIF('① 원본데이터'!G:G,A12,'① 원본데이터'!I:I)</f>
        <v>79245</v>
      </c>
      <c r="C12" s="8" t="n">
        <f aca="false">SUMIF('① 원본데이터'!G:G,A12,'① 원본데이터'!J:J)</f>
        <v>1795</v>
      </c>
      <c r="D12" s="25" t="n">
        <f aca="false">IFERROR(C12/B12*100,0)</f>
        <v>2.26512713735882</v>
      </c>
    </row>
    <row r="13" customFormat="false" ht="15" hidden="false" customHeight="false" outlineLevel="0" collapsed="false">
      <c r="A13" s="12" t="s">
        <v>29</v>
      </c>
      <c r="B13" s="13" t="n">
        <f aca="false">SUMIF('① 원본데이터'!G:G,A13,'① 원본데이터'!I:I)</f>
        <v>69965</v>
      </c>
      <c r="C13" s="13" t="n">
        <f aca="false">SUMIF('① 원본데이터'!G:G,A13,'① 원본데이터'!J:J)</f>
        <v>2308</v>
      </c>
      <c r="D13" s="23" t="n">
        <f aca="false">IFERROR(C13/B13*100,0)</f>
        <v>3.29879225326949</v>
      </c>
    </row>
    <row r="17" customFormat="false" ht="21.75" hidden="false" customHeight="true" outlineLevel="0" collapsed="false">
      <c r="A17" s="21" t="s">
        <v>320</v>
      </c>
      <c r="B17" s="21"/>
      <c r="C17" s="21"/>
      <c r="D17" s="21"/>
      <c r="E17" s="21"/>
    </row>
    <row r="18" customFormat="false" ht="19.5" hidden="false" customHeight="true" outlineLevel="0" collapsed="false">
      <c r="A18" s="22" t="s">
        <v>4</v>
      </c>
      <c r="B18" s="22" t="s">
        <v>313</v>
      </c>
      <c r="C18" s="22" t="s">
        <v>314</v>
      </c>
      <c r="D18" s="22" t="s">
        <v>315</v>
      </c>
      <c r="E18" s="22" t="s">
        <v>321</v>
      </c>
    </row>
    <row r="19" customFormat="false" ht="15" hidden="false" customHeight="false" outlineLevel="0" collapsed="false">
      <c r="A19" s="10" t="s">
        <v>322</v>
      </c>
      <c r="B19" s="13" t="n">
        <f aca="false">SUMIF('① 원본데이터'!C:C,1,'① 원본데이터'!I:I)</f>
        <v>47073</v>
      </c>
      <c r="C19" s="13" t="n">
        <f aca="false">SUMIF('① 원본데이터'!C:C,1,'① 원본데이터'!J:J)</f>
        <v>1385</v>
      </c>
      <c r="D19" s="23" t="n">
        <f aca="false">IFERROR(C19/B19*100,0)</f>
        <v>2.94223865060651</v>
      </c>
      <c r="E19" s="10" t="s">
        <v>323</v>
      </c>
    </row>
    <row r="20" customFormat="false" ht="15" hidden="false" customHeight="false" outlineLevel="0" collapsed="false">
      <c r="A20" s="5" t="s">
        <v>324</v>
      </c>
      <c r="B20" s="8" t="n">
        <f aca="false">SUMIF('① 원본데이터'!C:C,2,'① 원본데이터'!I:I)</f>
        <v>45126</v>
      </c>
      <c r="C20" s="8" t="n">
        <f aca="false">SUMIF('① 원본데이터'!C:C,2,'① 원본데이터'!J:J)</f>
        <v>1270</v>
      </c>
      <c r="D20" s="25" t="n">
        <f aca="false">IFERROR(C20/B20*100,0)</f>
        <v>2.81434206444179</v>
      </c>
      <c r="E20" s="5" t="n">
        <f aca="false">IFERROR(D20-D19,"-")</f>
        <v>-0.12789658616472</v>
      </c>
    </row>
    <row r="21" customFormat="false" ht="15" hidden="false" customHeight="false" outlineLevel="0" collapsed="false">
      <c r="A21" s="10" t="s">
        <v>325</v>
      </c>
      <c r="B21" s="13" t="n">
        <f aca="false">SUMIF('① 원본데이터'!C:C,3,'① 원본데이터'!I:I)</f>
        <v>43842</v>
      </c>
      <c r="C21" s="13" t="n">
        <f aca="false">SUMIF('① 원본데이터'!C:C,3,'① 원본데이터'!J:J)</f>
        <v>1144</v>
      </c>
      <c r="D21" s="23" t="n">
        <f aca="false">IFERROR(C21/B21*100,0)</f>
        <v>2.60937001049222</v>
      </c>
      <c r="E21" s="10" t="n">
        <f aca="false">IFERROR(D21-D20,"-")</f>
        <v>-0.204972053949563</v>
      </c>
    </row>
    <row r="22" customFormat="false" ht="15" hidden="false" customHeight="false" outlineLevel="0" collapsed="false">
      <c r="A22" s="5" t="s">
        <v>326</v>
      </c>
      <c r="B22" s="8" t="n">
        <f aca="false">SUMIF('① 원본데이터'!C:C,4,'① 원본데이터'!I:I)</f>
        <v>13169</v>
      </c>
      <c r="C22" s="8" t="n">
        <f aca="false">SUMIF('① 원본데이터'!C:C,4,'① 원본데이터'!J:J)</f>
        <v>304</v>
      </c>
      <c r="D22" s="25" t="n">
        <f aca="false">IFERROR(C22/B22*100,0)</f>
        <v>2.30845166679323</v>
      </c>
      <c r="E22" s="5" t="n">
        <f aca="false">IFERROR(D22-D21,"-")</f>
        <v>-0.300918343698995</v>
      </c>
    </row>
  </sheetData>
  <mergeCells count="3">
    <mergeCell ref="A1:F1"/>
    <mergeCell ref="A10:D10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2026-04-05T13:57:52Z</dcterms:created>
  <dc:creator>openpyxl</dc:creator>
  <dc:description/>
  <dc:language>en-US</dc:language>
  <cp:lastModifiedBy/>
  <dcterms:modified xsi:type="dcterms:W3CDTF">2026-04-05T13:57:52Z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